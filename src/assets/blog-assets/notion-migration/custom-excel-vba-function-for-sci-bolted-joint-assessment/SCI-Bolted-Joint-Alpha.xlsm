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55" windowWidth="18195" windowHeight="11640"/>
  </bookViews>
  <sheets>
    <sheet name="Calculation" sheetId="2" r:id="rId1"/>
    <sheet name="Alpha Constants" sheetId="1" r:id="rId2"/>
  </sheets>
  <functionGroups builtInGroupCount="17"/>
  <definedNames>
    <definedName name="_xlnm.Print_Area" localSheetId="1">'Alpha Constants'!$A$1:$N$17</definedName>
    <definedName name="_xlnm.Print_Area" localSheetId="0">Calculation!$A$1:$F$13</definedName>
  </definedNames>
  <calcPr calcId="145621"/>
</workbook>
</file>

<file path=xl/calcChain.xml><?xml version="1.0" encoding="utf-8"?>
<calcChain xmlns="http://schemas.openxmlformats.org/spreadsheetml/2006/main">
  <c r="F5" i="1" l="1"/>
  <c r="F6" i="1"/>
  <c r="F7" i="1"/>
  <c r="F8" i="1"/>
  <c r="F10" i="1"/>
  <c r="F12" i="1"/>
  <c r="F14" i="1"/>
  <c r="F9" i="1"/>
  <c r="F13" i="1"/>
  <c r="F15" i="1"/>
  <c r="D8" i="2"/>
  <c r="C9" i="1"/>
  <c r="F11" i="1" l="1"/>
  <c r="M2" i="1" s="1"/>
  <c r="I2" i="1" l="1"/>
  <c r="J2" i="1"/>
  <c r="L2" i="1"/>
  <c r="K2" i="1"/>
  <c r="H2" i="1"/>
</calcChain>
</file>

<file path=xl/sharedStrings.xml><?xml version="1.0" encoding="utf-8"?>
<sst xmlns="http://schemas.openxmlformats.org/spreadsheetml/2006/main" count="42" uniqueCount="36">
  <si>
    <t>e</t>
  </si>
  <si>
    <t>mm</t>
  </si>
  <si>
    <t>m1</t>
  </si>
  <si>
    <t>F1</t>
  </si>
  <si>
    <t>F2</t>
  </si>
  <si>
    <t>F3</t>
  </si>
  <si>
    <t>F4</t>
  </si>
  <si>
    <t>F5</t>
  </si>
  <si>
    <t>F6</t>
  </si>
  <si>
    <t>constant</t>
  </si>
  <si>
    <t>[Ref. SCI P207-95 Appendix III]</t>
  </si>
  <si>
    <r>
      <t>λ</t>
    </r>
    <r>
      <rPr>
        <vertAlign val="subscript"/>
        <sz val="10"/>
        <color indexed="8"/>
        <rFont val="Consolas"/>
        <family val="3"/>
      </rPr>
      <t>1</t>
    </r>
  </si>
  <si>
    <r>
      <t>λ</t>
    </r>
    <r>
      <rPr>
        <vertAlign val="subscript"/>
        <sz val="10"/>
        <color indexed="8"/>
        <rFont val="Consolas"/>
        <family val="3"/>
      </rPr>
      <t>2</t>
    </r>
    <r>
      <rPr>
        <sz val="11"/>
        <color indexed="8"/>
        <rFont val="Calibri"/>
        <family val="2"/>
      </rPr>
      <t/>
    </r>
  </si>
  <si>
    <r>
      <t>λ</t>
    </r>
    <r>
      <rPr>
        <vertAlign val="subscript"/>
        <sz val="10"/>
        <color indexed="8"/>
        <rFont val="Consolas"/>
        <family val="3"/>
      </rPr>
      <t>1</t>
    </r>
    <r>
      <rPr>
        <vertAlign val="superscript"/>
        <sz val="10"/>
        <color indexed="8"/>
        <rFont val="Consolas"/>
        <family val="3"/>
      </rPr>
      <t>2</t>
    </r>
  </si>
  <si>
    <r>
      <t>λ</t>
    </r>
    <r>
      <rPr>
        <vertAlign val="subscript"/>
        <sz val="10"/>
        <color indexed="8"/>
        <rFont val="Consolas"/>
        <family val="3"/>
      </rPr>
      <t>2</t>
    </r>
    <r>
      <rPr>
        <vertAlign val="superscript"/>
        <sz val="10"/>
        <color indexed="8"/>
        <rFont val="Consolas"/>
        <family val="3"/>
      </rPr>
      <t>2</t>
    </r>
  </si>
  <si>
    <r>
      <t>λ</t>
    </r>
    <r>
      <rPr>
        <vertAlign val="subscript"/>
        <sz val="10"/>
        <color indexed="8"/>
        <rFont val="Consolas"/>
        <family val="3"/>
      </rPr>
      <t>1</t>
    </r>
    <r>
      <rPr>
        <sz val="10"/>
        <color indexed="8"/>
        <rFont val="Consolas"/>
        <family val="3"/>
      </rPr>
      <t>λ</t>
    </r>
    <r>
      <rPr>
        <vertAlign val="subscript"/>
        <sz val="10"/>
        <color indexed="8"/>
        <rFont val="Consolas"/>
        <family val="3"/>
      </rPr>
      <t>2</t>
    </r>
  </si>
  <si>
    <r>
      <t>λ</t>
    </r>
    <r>
      <rPr>
        <vertAlign val="subscript"/>
        <sz val="10"/>
        <color indexed="8"/>
        <rFont val="Consolas"/>
        <family val="3"/>
      </rPr>
      <t>1</t>
    </r>
    <r>
      <rPr>
        <vertAlign val="superscript"/>
        <sz val="10"/>
        <color indexed="8"/>
        <rFont val="Consolas"/>
        <family val="3"/>
      </rPr>
      <t>3</t>
    </r>
  </si>
  <si>
    <r>
      <t>λ</t>
    </r>
    <r>
      <rPr>
        <vertAlign val="subscript"/>
        <sz val="10"/>
        <color indexed="8"/>
        <rFont val="Consolas"/>
        <family val="3"/>
      </rPr>
      <t>2</t>
    </r>
    <r>
      <rPr>
        <vertAlign val="superscript"/>
        <sz val="10"/>
        <color indexed="8"/>
        <rFont val="Consolas"/>
        <family val="3"/>
      </rPr>
      <t>3</t>
    </r>
  </si>
  <si>
    <r>
      <t>λ</t>
    </r>
    <r>
      <rPr>
        <vertAlign val="subscript"/>
        <sz val="10"/>
        <color indexed="8"/>
        <rFont val="Consolas"/>
        <family val="3"/>
      </rPr>
      <t>1</t>
    </r>
    <r>
      <rPr>
        <sz val="10"/>
        <color indexed="8"/>
        <rFont val="Consolas"/>
        <family val="3"/>
      </rPr>
      <t>λ</t>
    </r>
    <r>
      <rPr>
        <vertAlign val="subscript"/>
        <sz val="10"/>
        <color indexed="8"/>
        <rFont val="Consolas"/>
        <family val="3"/>
      </rPr>
      <t>2</t>
    </r>
    <r>
      <rPr>
        <vertAlign val="superscript"/>
        <sz val="10"/>
        <color indexed="8"/>
        <rFont val="Consolas"/>
        <family val="3"/>
      </rPr>
      <t>2</t>
    </r>
  </si>
  <si>
    <r>
      <t>λ</t>
    </r>
    <r>
      <rPr>
        <vertAlign val="subscript"/>
        <sz val="10"/>
        <color indexed="8"/>
        <rFont val="Consolas"/>
        <family val="3"/>
      </rPr>
      <t>1</t>
    </r>
    <r>
      <rPr>
        <vertAlign val="superscript"/>
        <sz val="10"/>
        <color indexed="8"/>
        <rFont val="Consolas"/>
        <family val="3"/>
      </rPr>
      <t>2</t>
    </r>
    <r>
      <rPr>
        <sz val="10"/>
        <color indexed="8"/>
        <rFont val="Consolas"/>
        <family val="3"/>
      </rPr>
      <t>λ</t>
    </r>
    <r>
      <rPr>
        <vertAlign val="subscript"/>
        <sz val="10"/>
        <color indexed="8"/>
        <rFont val="Consolas"/>
        <family val="3"/>
      </rPr>
      <t>2</t>
    </r>
  </si>
  <si>
    <r>
      <t>λ</t>
    </r>
    <r>
      <rPr>
        <vertAlign val="subscript"/>
        <sz val="10"/>
        <color indexed="8"/>
        <rFont val="Consolas"/>
        <family val="3"/>
      </rPr>
      <t>1</t>
    </r>
    <r>
      <rPr>
        <vertAlign val="superscript"/>
        <sz val="10"/>
        <color indexed="8"/>
        <rFont val="Consolas"/>
        <family val="3"/>
      </rPr>
      <t>4</t>
    </r>
  </si>
  <si>
    <r>
      <t>λ</t>
    </r>
    <r>
      <rPr>
        <vertAlign val="subscript"/>
        <sz val="10"/>
        <color indexed="8"/>
        <rFont val="Consolas"/>
        <family val="3"/>
      </rPr>
      <t>2</t>
    </r>
    <r>
      <rPr>
        <vertAlign val="superscript"/>
        <sz val="10"/>
        <color indexed="8"/>
        <rFont val="Consolas"/>
        <family val="3"/>
      </rPr>
      <t>4</t>
    </r>
  </si>
  <si>
    <t>m2</t>
  </si>
  <si>
    <t>[Ref. SCI P207-95 Figure 2.16]</t>
  </si>
  <si>
    <t>General properties</t>
  </si>
  <si>
    <t>alpha</t>
  </si>
  <si>
    <r>
      <t>m</t>
    </r>
    <r>
      <rPr>
        <vertAlign val="subscript"/>
        <sz val="10"/>
        <color indexed="8"/>
        <rFont val="Consolas"/>
        <family val="3"/>
      </rPr>
      <t>1</t>
    </r>
  </si>
  <si>
    <t>alpha=</t>
  </si>
  <si>
    <r>
      <t>m</t>
    </r>
    <r>
      <rPr>
        <vertAlign val="subscript"/>
        <sz val="10"/>
        <color indexed="8"/>
        <rFont val="Consolas"/>
        <family val="3"/>
      </rPr>
      <t>2</t>
    </r>
  </si>
  <si>
    <t>Alpha Calculation</t>
  </si>
  <si>
    <t>=alpha(m1,m2,e)</t>
  </si>
  <si>
    <t>Alpha can be calculated using the custom function "alpha" where the three arguments are m1, m2 and e</t>
  </si>
  <si>
    <t>The custom function is implemented in VBA (Alt+F11 to access) and uses the values tabulated on the sheet called "Alpha Constants"</t>
  </si>
  <si>
    <t>This function is for information only. Don't use without verify the accuracy.</t>
  </si>
  <si>
    <t>Nick Stevens. Tor Engineering Ltd. October 2017</t>
  </si>
  <si>
    <t>www.tor-eng.com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</si>
</sst>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Calibri"/>
      <family val="2"/>
    </font>
    <font>
      <sz val="10"/>
      <color indexed="8"/>
      <name val="Consolas"/>
      <family val="3"/>
    </font>
    <font>
      <b/>
      <sz val="10"/>
      <color indexed="8"/>
      <name val="Consolas"/>
      <family val="3"/>
    </font>
    <font>
      <vertAlign val="superscript"/>
      <sz val="10"/>
      <color indexed="8"/>
      <name val="Consolas"/>
      <family val="3"/>
    </font>
    <font>
      <vertAlign val="subscript"/>
      <sz val="10"/>
      <color indexed="8"/>
      <name val="Consolas"/>
      <family val="3"/>
    </font>
    <font>
      <sz val="10"/>
      <color indexed="12"/>
      <name val="Consolas"/>
      <family val="3"/>
    </font>
    <font>
      <sz val="18"/>
      <color indexed="8"/>
      <name val="Consolas"/>
      <family val="3"/>
    </font>
    <font>
      <sz val="10"/>
      <color rgb="FFFF0000"/>
      <name val="Consolas"/>
      <family val="3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0" xfId="0" applyFont="1" applyFill="1" applyBorder="1"/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2" fontId="7" fillId="4" borderId="1" xfId="0" applyNumberFormat="1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0" fontId="3" fillId="2" borderId="2" xfId="0" applyFont="1" applyFill="1" applyBorder="1"/>
    <xf numFmtId="0" fontId="3" fillId="3" borderId="0" xfId="0" applyFont="1" applyFill="1" applyBorder="1"/>
    <xf numFmtId="0" fontId="4" fillId="2" borderId="3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/>
    <xf numFmtId="0" fontId="8" fillId="2" borderId="4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3" fillId="2" borderId="1" xfId="0" applyFont="1" applyFill="1" applyBorder="1"/>
    <xf numFmtId="2" fontId="3" fillId="4" borderId="1" xfId="0" applyNumberFormat="1" applyFont="1" applyFill="1" applyBorder="1"/>
    <xf numFmtId="164" fontId="7" fillId="2" borderId="0" xfId="0" applyNumberFormat="1" applyFont="1" applyFill="1" applyBorder="1"/>
    <xf numFmtId="164" fontId="7" fillId="2" borderId="0" xfId="0" quotePrefix="1" applyNumberFormat="1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9" fillId="2" borderId="0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left" vertical="center" wrapText="1"/>
    </xf>
    <xf numFmtId="0" fontId="9" fillId="2" borderId="7" xfId="0" applyFont="1" applyFill="1" applyBorder="1" applyAlignment="1">
      <alignment horizontal="left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9" xfId="0" applyFont="1" applyFill="1" applyBorder="1" applyAlignment="1">
      <alignment horizontal="left" vertical="center" wrapText="1"/>
    </xf>
    <xf numFmtId="0" fontId="3" fillId="2" borderId="6" xfId="0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0" fillId="2" borderId="0" xfId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333375</xdr:colOff>
      <xdr:row>1</xdr:row>
      <xdr:rowOff>47625</xdr:rowOff>
    </xdr:from>
    <xdr:to>
      <xdr:col>5</xdr:col>
      <xdr:colOff>180975</xdr:colOff>
      <xdr:row>5</xdr:row>
      <xdr:rowOff>235202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8325" y="238125"/>
          <a:ext cx="1162050" cy="12543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or-eng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7"/>
  <sheetViews>
    <sheetView tabSelected="1" zoomScaleNormal="100" zoomScaleSheetLayoutView="100" workbookViewId="0">
      <selection activeCell="H5" sqref="H5"/>
    </sheetView>
  </sheetViews>
  <sheetFormatPr defaultRowHeight="21" customHeight="1" x14ac:dyDescent="0.2"/>
  <cols>
    <col min="1" max="1" width="2.85546875" style="1" customWidth="1"/>
    <col min="2" max="5" width="9.85546875" style="3" customWidth="1"/>
    <col min="6" max="6" width="14.140625" style="3" customWidth="1"/>
    <col min="7" max="16384" width="9.140625" style="1"/>
  </cols>
  <sheetData>
    <row r="1" spans="2:6" ht="15" customHeight="1" x14ac:dyDescent="0.2"/>
    <row r="2" spans="2:6" ht="21" customHeight="1" x14ac:dyDescent="0.35">
      <c r="B2" s="10" t="s">
        <v>24</v>
      </c>
      <c r="C2" s="17"/>
      <c r="D2" s="17"/>
      <c r="E2" s="17"/>
      <c r="F2" s="18"/>
    </row>
    <row r="3" spans="2:6" ht="21" customHeight="1" x14ac:dyDescent="0.25">
      <c r="B3" s="13" t="s">
        <v>26</v>
      </c>
      <c r="C3" s="9">
        <v>45</v>
      </c>
      <c r="D3" s="3" t="s">
        <v>1</v>
      </c>
      <c r="F3" s="8"/>
    </row>
    <row r="4" spans="2:6" ht="21" customHeight="1" x14ac:dyDescent="0.2">
      <c r="B4" s="13" t="s">
        <v>0</v>
      </c>
      <c r="C4" s="9">
        <v>45</v>
      </c>
      <c r="D4" s="3" t="s">
        <v>1</v>
      </c>
      <c r="F4" s="8"/>
    </row>
    <row r="5" spans="2:6" ht="21" customHeight="1" x14ac:dyDescent="0.25">
      <c r="B5" s="13" t="s">
        <v>28</v>
      </c>
      <c r="C5" s="9">
        <v>45</v>
      </c>
      <c r="D5" s="3" t="s">
        <v>1</v>
      </c>
      <c r="F5" s="8"/>
    </row>
    <row r="6" spans="2:6" ht="21" customHeight="1" x14ac:dyDescent="0.2">
      <c r="B6" s="14"/>
      <c r="C6" s="15"/>
      <c r="D6" s="15"/>
      <c r="E6" s="15"/>
      <c r="F6" s="16"/>
    </row>
    <row r="7" spans="2:6" ht="21" customHeight="1" x14ac:dyDescent="0.2">
      <c r="B7" s="10" t="s">
        <v>29</v>
      </c>
      <c r="C7" s="11"/>
      <c r="D7" s="11"/>
      <c r="E7" s="11"/>
      <c r="F7" s="12"/>
    </row>
    <row r="8" spans="2:6" ht="21" customHeight="1" x14ac:dyDescent="0.2">
      <c r="B8" s="13"/>
      <c r="C8" s="3" t="s">
        <v>27</v>
      </c>
      <c r="D8" s="21">
        <f>alpha(C$3,C$5,C$4)</f>
        <v>5.7727591250000003</v>
      </c>
      <c r="F8" s="8"/>
    </row>
    <row r="9" spans="2:6" ht="21" customHeight="1" x14ac:dyDescent="0.2">
      <c r="B9" s="13"/>
      <c r="D9" s="22" t="s">
        <v>30</v>
      </c>
      <c r="F9" s="8"/>
    </row>
    <row r="10" spans="2:6" ht="21" customHeight="1" x14ac:dyDescent="0.2">
      <c r="B10" s="29" t="s">
        <v>31</v>
      </c>
      <c r="C10" s="30"/>
      <c r="D10" s="30"/>
      <c r="E10" s="30"/>
      <c r="F10" s="31"/>
    </row>
    <row r="11" spans="2:6" ht="21" customHeight="1" x14ac:dyDescent="0.2">
      <c r="B11" s="29"/>
      <c r="C11" s="30"/>
      <c r="D11" s="30"/>
      <c r="E11" s="30"/>
      <c r="F11" s="31"/>
    </row>
    <row r="12" spans="2:6" ht="21" customHeight="1" x14ac:dyDescent="0.2">
      <c r="B12" s="29" t="s">
        <v>32</v>
      </c>
      <c r="C12" s="30"/>
      <c r="D12" s="30"/>
      <c r="E12" s="30"/>
      <c r="F12" s="31"/>
    </row>
    <row r="13" spans="2:6" ht="21" customHeight="1" x14ac:dyDescent="0.2">
      <c r="B13" s="29"/>
      <c r="C13" s="30"/>
      <c r="D13" s="30"/>
      <c r="E13" s="30"/>
      <c r="F13" s="31"/>
    </row>
    <row r="14" spans="2:6" ht="21" customHeight="1" x14ac:dyDescent="0.2">
      <c r="B14" s="23" t="s">
        <v>33</v>
      </c>
      <c r="C14" s="24"/>
      <c r="D14" s="24"/>
      <c r="E14" s="24"/>
      <c r="F14" s="25"/>
    </row>
    <row r="15" spans="2:6" ht="21" customHeight="1" x14ac:dyDescent="0.2">
      <c r="B15" s="26"/>
      <c r="C15" s="27"/>
      <c r="D15" s="27"/>
      <c r="E15" s="27"/>
      <c r="F15" s="28"/>
    </row>
    <row r="16" spans="2:6" ht="21" customHeight="1" x14ac:dyDescent="0.2">
      <c r="B16" s="3" t="s">
        <v>34</v>
      </c>
    </row>
    <row r="17" spans="2:2" ht="21" customHeight="1" x14ac:dyDescent="0.25">
      <c r="B17" s="32" t="s">
        <v>35</v>
      </c>
    </row>
  </sheetData>
  <mergeCells count="3">
    <mergeCell ref="B14:F15"/>
    <mergeCell ref="B12:F13"/>
    <mergeCell ref="B10:F11"/>
  </mergeCells>
  <phoneticPr fontId="2" type="noConversion"/>
  <hyperlinks>
    <hyperlink ref="B17" r:id="rId1"/>
  </hyperlinks>
  <pageMargins left="0.74803149606299213" right="0.74803149606299213" top="0.98425196850393704" bottom="0.98425196850393704" header="0.51181102362204722" footer="0.51181102362204722"/>
  <pageSetup paperSize="9" scale="48" orientation="portrait" verticalDpi="300" r:id="rId2"/>
  <headerFooter>
    <oddHeader>&amp;L&amp;D &amp;T&amp;C&amp;A&amp;RPage &amp;P of &amp;N</oddHeader>
    <oddFooter>&amp;C&amp;F</oddFooter>
  </headerFooter>
  <colBreaks count="1" manualBreakCount="1">
    <brk id="14" max="1048575" man="1"/>
  </colBreak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2:M17"/>
  <sheetViews>
    <sheetView zoomScaleNormal="100" zoomScaleSheetLayoutView="100" workbookViewId="0">
      <selection activeCell="B47" sqref="B47"/>
    </sheetView>
  </sheetViews>
  <sheetFormatPr defaultRowHeight="12.75" x14ac:dyDescent="0.2"/>
  <cols>
    <col min="1" max="1" width="2.85546875" style="1" customWidth="1"/>
    <col min="2" max="8" width="9.140625" style="1"/>
    <col min="9" max="9" width="17.28515625" style="1" bestFit="1" customWidth="1"/>
    <col min="10" max="10" width="13.42578125" style="1" bestFit="1" customWidth="1"/>
    <col min="11" max="11" width="12.5703125" style="1" bestFit="1" customWidth="1"/>
    <col min="12" max="12" width="13.42578125" style="1" bestFit="1" customWidth="1"/>
    <col min="13" max="13" width="13.140625" style="1" bestFit="1" customWidth="1"/>
    <col min="14" max="16384" width="9.140625" style="1"/>
  </cols>
  <sheetData>
    <row r="2" spans="2:13" x14ac:dyDescent="0.2">
      <c r="B2" s="4" t="s">
        <v>2</v>
      </c>
      <c r="C2" s="5">
        <v>45</v>
      </c>
      <c r="D2" s="1" t="s">
        <v>1</v>
      </c>
      <c r="F2" s="2"/>
      <c r="G2" s="2"/>
      <c r="H2" s="6">
        <f t="shared" ref="H2:M2" si="0">H4+H5*$F$5+H6*$F$6+H7*$F$7+H8*$F$8+H9*$F$9+H10*$F$10+H11*$F$11+H12*$F$12+H13*$F$13+H14*$F$14+H15*$F$15</f>
        <v>0.30853447500000009</v>
      </c>
      <c r="I2" s="6">
        <f>I4+I5*$F$5+I6*$F$6+I7*$F$7+I8*$F$8+I9*$F$9+I10*$F$10+I11*$F$11+I12*$F$12+I13*$F$13+I14*$F$14+I15*$F$15</f>
        <v>0.81639176437500005</v>
      </c>
      <c r="J2" s="6">
        <f t="shared" si="0"/>
        <v>5.7727591250000021</v>
      </c>
      <c r="K2" s="6">
        <f t="shared" si="0"/>
        <v>5.7999290000000014</v>
      </c>
      <c r="L2" s="6">
        <f t="shared" si="0"/>
        <v>-0.97494712500001413</v>
      </c>
      <c r="M2" s="6">
        <f t="shared" si="0"/>
        <v>24.08883708749994</v>
      </c>
    </row>
    <row r="3" spans="2:13" x14ac:dyDescent="0.2">
      <c r="B3" s="4" t="s">
        <v>22</v>
      </c>
      <c r="C3" s="5">
        <v>45</v>
      </c>
      <c r="D3" s="1" t="s">
        <v>1</v>
      </c>
      <c r="F3" s="2"/>
      <c r="G3" s="4"/>
      <c r="H3" s="4" t="s">
        <v>3</v>
      </c>
      <c r="I3" s="4" t="s">
        <v>4</v>
      </c>
      <c r="J3" s="4" t="s">
        <v>5</v>
      </c>
      <c r="K3" s="4" t="s">
        <v>6</v>
      </c>
      <c r="L3" s="4" t="s">
        <v>7</v>
      </c>
      <c r="M3" s="4" t="s">
        <v>8</v>
      </c>
    </row>
    <row r="4" spans="2:13" x14ac:dyDescent="0.2">
      <c r="B4" s="4" t="s">
        <v>0</v>
      </c>
      <c r="C4" s="5">
        <v>45</v>
      </c>
      <c r="D4" s="1" t="s">
        <v>1</v>
      </c>
      <c r="F4" s="2"/>
      <c r="G4" s="4" t="s">
        <v>9</v>
      </c>
      <c r="H4" s="4">
        <v>0.99477448000000002</v>
      </c>
      <c r="I4" s="4">
        <v>1.04213142</v>
      </c>
      <c r="J4" s="4">
        <v>8.1302830000000004</v>
      </c>
      <c r="K4" s="4">
        <v>1.2456659999999999</v>
      </c>
      <c r="L4" s="4">
        <v>-86.505200000000002</v>
      </c>
      <c r="M4" s="4">
        <v>-226.979097</v>
      </c>
    </row>
    <row r="5" spans="2:13" ht="14.25" x14ac:dyDescent="0.25">
      <c r="F5" s="7">
        <f>C2/(C2+C4)</f>
        <v>0.5</v>
      </c>
      <c r="G5" s="4" t="s">
        <v>11</v>
      </c>
      <c r="H5" s="4"/>
      <c r="I5" s="4"/>
      <c r="J5" s="4">
        <v>4.4882949999999999</v>
      </c>
      <c r="K5" s="4">
        <v>39.333002999999998</v>
      </c>
      <c r="L5" s="4">
        <v>478.58886999999999</v>
      </c>
      <c r="M5" s="4">
        <v>1095.760732</v>
      </c>
    </row>
    <row r="6" spans="2:13" ht="15" x14ac:dyDescent="0.25">
      <c r="B6" s="3" t="s">
        <v>23</v>
      </c>
      <c r="F6" s="7">
        <f>C3/(C2+C4)</f>
        <v>0.5</v>
      </c>
      <c r="G6" s="4" t="s">
        <v>12</v>
      </c>
      <c r="H6" s="4">
        <v>-2.4584850299999998</v>
      </c>
      <c r="I6" s="4">
        <v>-0.85759182</v>
      </c>
      <c r="J6" s="4">
        <v>-3.4412310000000002</v>
      </c>
      <c r="K6" s="4">
        <v>-3.5803319999999998</v>
      </c>
      <c r="L6" s="4">
        <v>79.430092000000002</v>
      </c>
      <c r="M6" s="4">
        <v>-12.118677699999999</v>
      </c>
    </row>
    <row r="7" spans="2:13" ht="15" x14ac:dyDescent="0.25">
      <c r="F7" s="7">
        <f>F5^2</f>
        <v>0.25</v>
      </c>
      <c r="G7" s="4" t="s">
        <v>13</v>
      </c>
      <c r="H7" s="4"/>
      <c r="I7" s="4"/>
      <c r="J7" s="4">
        <v>-16.699660999999999</v>
      </c>
      <c r="K7" s="4">
        <v>-55.940604999999998</v>
      </c>
      <c r="L7" s="4">
        <v>-935.10279400000002</v>
      </c>
      <c r="M7" s="4">
        <v>-1848.467314</v>
      </c>
    </row>
    <row r="8" spans="2:13" ht="15" x14ac:dyDescent="0.25">
      <c r="F8" s="7">
        <f>F6^2</f>
        <v>0.25</v>
      </c>
      <c r="G8" s="4" t="s">
        <v>14</v>
      </c>
      <c r="H8" s="4">
        <v>3.1549716800000001</v>
      </c>
      <c r="I8" s="4">
        <v>1.1582806299999999</v>
      </c>
      <c r="J8" s="4">
        <v>4.6576409999999999</v>
      </c>
      <c r="K8" s="4">
        <v>40.544586000000002</v>
      </c>
      <c r="L8" s="4">
        <v>-329.85473300000001</v>
      </c>
      <c r="M8" s="4">
        <v>717.104423</v>
      </c>
    </row>
    <row r="9" spans="2:13" ht="14.25" x14ac:dyDescent="0.25">
      <c r="B9" s="19" t="s">
        <v>25</v>
      </c>
      <c r="C9" s="20">
        <f>alpha(C2,C3,C4)</f>
        <v>5.7727591250000003</v>
      </c>
      <c r="F9" s="7">
        <f>F5*F6</f>
        <v>0.25</v>
      </c>
      <c r="G9" s="4" t="s">
        <v>15</v>
      </c>
      <c r="H9" s="4"/>
      <c r="I9" s="4"/>
      <c r="J9" s="4">
        <v>-6.8025320000000002</v>
      </c>
      <c r="K9" s="4">
        <v>-55.34357</v>
      </c>
      <c r="L9" s="4">
        <v>-68.228566999999998</v>
      </c>
      <c r="M9" s="4">
        <v>-264.30702400000001</v>
      </c>
    </row>
    <row r="10" spans="2:13" ht="15" x14ac:dyDescent="0.25">
      <c r="F10" s="7">
        <f>F5^3</f>
        <v>0.125</v>
      </c>
      <c r="G10" s="4" t="s">
        <v>16</v>
      </c>
      <c r="H10" s="4"/>
      <c r="I10" s="4"/>
      <c r="J10" s="4">
        <v>8.7474740000000004</v>
      </c>
      <c r="K10" s="4">
        <v>21.049462999999999</v>
      </c>
      <c r="L10" s="4">
        <v>809.05616399999997</v>
      </c>
      <c r="M10" s="4">
        <v>1369.007748</v>
      </c>
    </row>
    <row r="11" spans="2:13" ht="15" x14ac:dyDescent="0.25">
      <c r="F11" s="7">
        <f>F6^3</f>
        <v>0.125</v>
      </c>
      <c r="G11" s="4" t="s">
        <v>17</v>
      </c>
      <c r="H11" s="4">
        <v>-2.23017434</v>
      </c>
      <c r="I11" s="4">
        <v>-0.79910192000000002</v>
      </c>
      <c r="J11" s="4">
        <v>-1.197675</v>
      </c>
      <c r="K11" s="4">
        <v>-33.001767999999998</v>
      </c>
      <c r="L11" s="4">
        <v>531.67295200000001</v>
      </c>
      <c r="M11" s="4">
        <v>-2120.5160580000002</v>
      </c>
    </row>
    <row r="12" spans="2:13" ht="15" x14ac:dyDescent="0.25">
      <c r="F12" s="7">
        <f>F5*(F6^2)</f>
        <v>0.125</v>
      </c>
      <c r="G12" s="4" t="s">
        <v>18</v>
      </c>
      <c r="H12" s="4"/>
      <c r="I12" s="4"/>
      <c r="J12" s="4">
        <v>-1.2273590000000001</v>
      </c>
      <c r="K12" s="4">
        <v>2.7924099999999998</v>
      </c>
      <c r="L12" s="4">
        <v>252.193252</v>
      </c>
      <c r="M12" s="4">
        <v>-69.105001999999999</v>
      </c>
    </row>
    <row r="13" spans="2:13" ht="15" x14ac:dyDescent="0.25">
      <c r="F13" s="7">
        <f>(F5^2)*F6</f>
        <v>0.125</v>
      </c>
      <c r="G13" s="4" t="s">
        <v>19</v>
      </c>
      <c r="H13" s="4"/>
      <c r="I13" s="4"/>
      <c r="J13" s="4">
        <v>8.3182170000000006</v>
      </c>
      <c r="K13" s="4">
        <v>44.062493000000003</v>
      </c>
      <c r="L13" s="4">
        <v>-44.242643999999999</v>
      </c>
      <c r="M13" s="4">
        <v>195.69790499999999</v>
      </c>
    </row>
    <row r="14" spans="2:13" ht="15" x14ac:dyDescent="0.25">
      <c r="F14" s="7">
        <f>F5^4</f>
        <v>6.25E-2</v>
      </c>
      <c r="G14" s="4" t="s">
        <v>20</v>
      </c>
      <c r="H14" s="4"/>
      <c r="I14" s="4"/>
      <c r="J14" s="4"/>
      <c r="K14" s="4"/>
      <c r="L14" s="4">
        <v>-254.65983700000001</v>
      </c>
      <c r="M14" s="4">
        <v>-381.68578300000001</v>
      </c>
    </row>
    <row r="15" spans="2:13" ht="15" x14ac:dyDescent="0.25">
      <c r="F15" s="7">
        <f>F6^4</f>
        <v>6.25E-2</v>
      </c>
      <c r="G15" s="4" t="s">
        <v>21</v>
      </c>
      <c r="H15" s="4">
        <v>0.52850211999999996</v>
      </c>
      <c r="I15" s="4">
        <v>0.21398138999999999</v>
      </c>
      <c r="J15" s="4"/>
      <c r="K15" s="4"/>
      <c r="L15" s="4">
        <v>-605.622885</v>
      </c>
      <c r="M15" s="4">
        <v>2562.1467680000001</v>
      </c>
    </row>
    <row r="17" spans="7:7" x14ac:dyDescent="0.2">
      <c r="G17" s="3" t="s">
        <v>10</v>
      </c>
    </row>
  </sheetData>
  <phoneticPr fontId="2" type="noConversion"/>
  <pageMargins left="0.74803149606299213" right="0.74803149606299213" top="0.98425196850393704" bottom="0.98425196850393704" header="0.51181102362204722" footer="0.51181102362204722"/>
  <pageSetup paperSize="9" scale="89" orientation="landscape" verticalDpi="1200" r:id="rId1"/>
  <headerFooter>
    <oddHeader>&amp;L&amp;D &amp;T&amp;C&amp;A&amp;RPage &amp;P of &amp;N</oddHeader>
    <oddFooter>&amp;C&amp;F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Calculation</vt:lpstr>
      <vt:lpstr>Alpha Constants</vt:lpstr>
      <vt:lpstr>'Alpha Constants'!Print_Area</vt:lpstr>
      <vt:lpstr>Calculation!Print_Area</vt:lpstr>
    </vt:vector>
  </TitlesOfParts>
  <Company>Babcock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Stevens</dc:creator>
  <cp:lastModifiedBy>Nick Stevens</cp:lastModifiedBy>
  <cp:lastPrinted>2014-01-24T13:27:27Z</cp:lastPrinted>
  <dcterms:created xsi:type="dcterms:W3CDTF">2013-11-29T11:28:31Z</dcterms:created>
  <dcterms:modified xsi:type="dcterms:W3CDTF">2017-10-02T10:47:12Z</dcterms:modified>
</cp:coreProperties>
</file>