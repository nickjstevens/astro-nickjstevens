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ck\Desktop\"/>
    </mc:Choice>
  </mc:AlternateContent>
  <bookViews>
    <workbookView xWindow="0" yWindow="60" windowWidth="20490" windowHeight="6210"/>
  </bookViews>
  <sheets>
    <sheet name="Peak Broaden Example" sheetId="2689" r:id="rId1"/>
  </sheets>
  <functionGroups builtInGroupCount="18"/>
  <calcPr calcId="171027"/>
</workbook>
</file>

<file path=xl/calcChain.xml><?xml version="1.0" encoding="utf-8"?>
<calcChain xmlns="http://schemas.openxmlformats.org/spreadsheetml/2006/main">
  <c r="F104" i="2689" l="1"/>
  <c r="G65" i="2689"/>
  <c r="F22" i="2689"/>
  <c r="G12" i="2689"/>
  <c r="G143" i="2689"/>
  <c r="F63" i="2689"/>
  <c r="F107" i="2689"/>
  <c r="F145" i="2689"/>
  <c r="F72" i="2689"/>
  <c r="G137" i="2689"/>
  <c r="F59" i="2689"/>
  <c r="F73" i="2689"/>
  <c r="G48" i="2689"/>
  <c r="G35" i="2689"/>
  <c r="F133" i="2689"/>
  <c r="F138" i="2689"/>
  <c r="G144" i="2689"/>
  <c r="G116" i="2689"/>
  <c r="G140" i="2689"/>
  <c r="F55" i="2689"/>
  <c r="G63" i="2689"/>
  <c r="F140" i="2689"/>
  <c r="F127" i="2689"/>
  <c r="F49" i="2689"/>
  <c r="F80" i="2689"/>
  <c r="G93" i="2689"/>
  <c r="F134" i="2689"/>
  <c r="F141" i="2689"/>
  <c r="F25" i="2689"/>
  <c r="G98" i="2689"/>
  <c r="G123" i="2689"/>
  <c r="F94" i="2689"/>
  <c r="G102" i="2689"/>
  <c r="F149" i="2689"/>
  <c r="F17" i="2689"/>
  <c r="F62" i="2689"/>
  <c r="G83" i="2689"/>
  <c r="G20" i="2689"/>
  <c r="G19" i="2689"/>
  <c r="F26" i="2689"/>
  <c r="G6" i="2689"/>
  <c r="G118" i="2689"/>
  <c r="G5" i="2689"/>
  <c r="G24" i="2689"/>
  <c r="F113" i="2689"/>
  <c r="F56" i="2689"/>
  <c r="F54" i="2689"/>
  <c r="F101" i="2689"/>
  <c r="G120" i="2689"/>
  <c r="G28" i="2689"/>
  <c r="G58" i="2689"/>
  <c r="F132" i="2689"/>
  <c r="G84" i="2689"/>
  <c r="F146" i="2689"/>
  <c r="F100" i="2689"/>
  <c r="G105" i="2689"/>
  <c r="G36" i="2689"/>
  <c r="G33" i="2689"/>
  <c r="F130" i="2689"/>
  <c r="F66" i="2689"/>
  <c r="F139" i="2689"/>
  <c r="G31" i="2689"/>
  <c r="G103" i="2689"/>
  <c r="G8" i="2689"/>
  <c r="F125" i="2689"/>
  <c r="G90" i="2689"/>
  <c r="G72" i="2689"/>
  <c r="F6" i="2689"/>
  <c r="G38" i="2689"/>
  <c r="G49" i="2689"/>
  <c r="G51" i="2689"/>
  <c r="G46" i="2689"/>
  <c r="G91" i="2689"/>
  <c r="G39" i="2689"/>
  <c r="G109" i="2689"/>
  <c r="G80" i="2689"/>
  <c r="G101" i="2689"/>
  <c r="F10" i="2689"/>
  <c r="F16" i="2689"/>
  <c r="G57" i="2689"/>
  <c r="G37" i="2689"/>
  <c r="F23" i="2689"/>
  <c r="F31" i="2689"/>
  <c r="G68" i="2689"/>
  <c r="F87" i="2689"/>
  <c r="G131" i="2689"/>
  <c r="G45" i="2689"/>
  <c r="F93" i="2689"/>
  <c r="G34" i="2689"/>
  <c r="G124" i="2689"/>
  <c r="F37" i="2689"/>
  <c r="G53" i="2689"/>
  <c r="F78" i="2689"/>
  <c r="F50" i="2689"/>
  <c r="F105" i="2689"/>
  <c r="F40" i="2689"/>
  <c r="G78" i="2689"/>
  <c r="F143" i="2689"/>
  <c r="F24" i="2689"/>
  <c r="G107" i="2689"/>
  <c r="F88" i="2689"/>
  <c r="F29" i="2689"/>
  <c r="F121" i="2689"/>
  <c r="F147" i="2689"/>
  <c r="G73" i="2689"/>
  <c r="G69" i="2689"/>
  <c r="G95" i="2689"/>
  <c r="G14" i="2689"/>
  <c r="G64" i="2689"/>
  <c r="G13" i="2689"/>
  <c r="G134" i="2689"/>
  <c r="G42" i="2689"/>
  <c r="F20" i="2689"/>
  <c r="G87" i="2689"/>
  <c r="G130" i="2689"/>
  <c r="F83" i="2689"/>
  <c r="G114" i="2689"/>
  <c r="G50" i="2689"/>
  <c r="G127" i="2689"/>
  <c r="F42" i="2689"/>
  <c r="F116" i="2689"/>
  <c r="F90" i="2689"/>
  <c r="G67" i="2689"/>
  <c r="G18" i="2689"/>
  <c r="G54" i="2689"/>
  <c r="G62" i="2689"/>
  <c r="F144" i="2689"/>
  <c r="F21" i="2689"/>
  <c r="G32" i="2689"/>
  <c r="F124" i="2689"/>
  <c r="F61" i="2689"/>
  <c r="F75" i="2689"/>
  <c r="F119" i="2689"/>
  <c r="G22" i="2689"/>
  <c r="F44" i="2689"/>
  <c r="G112" i="2689"/>
  <c r="G16" i="2689"/>
  <c r="G97" i="2689"/>
  <c r="G110" i="2689"/>
  <c r="G30" i="2689"/>
  <c r="G135" i="2689"/>
  <c r="G88" i="2689"/>
  <c r="G139" i="2689"/>
  <c r="F11" i="2689"/>
  <c r="G26" i="2689"/>
  <c r="F13" i="2689"/>
  <c r="F65" i="2689"/>
  <c r="F131" i="2689"/>
  <c r="G55" i="2689"/>
  <c r="F123" i="2689"/>
  <c r="F32" i="2689"/>
  <c r="F60" i="2689"/>
  <c r="G3" i="2689"/>
  <c r="G59" i="2689"/>
  <c r="G85" i="2689"/>
  <c r="F98" i="2689"/>
  <c r="G81" i="2689"/>
  <c r="G40" i="2689"/>
  <c r="G129" i="2689"/>
  <c r="G9" i="2689"/>
  <c r="G136" i="2689"/>
  <c r="F110" i="2689"/>
  <c r="F97" i="2689"/>
  <c r="G23" i="2689"/>
  <c r="G113" i="2689"/>
  <c r="F39" i="2689"/>
  <c r="G106" i="2689"/>
  <c r="F4" i="2689"/>
  <c r="F12" i="2689"/>
  <c r="G61" i="2689"/>
  <c r="G108" i="2689"/>
  <c r="G86" i="2689"/>
  <c r="F30" i="2689"/>
  <c r="F95" i="2689"/>
  <c r="G138" i="2689"/>
  <c r="F114" i="2689"/>
  <c r="F117" i="2689"/>
  <c r="F115" i="2689"/>
  <c r="F126" i="2689"/>
  <c r="F43" i="2689"/>
  <c r="G94" i="2689"/>
  <c r="F137" i="2689"/>
  <c r="G122" i="2689"/>
  <c r="G82" i="2689"/>
  <c r="F142" i="2689"/>
  <c r="F128" i="2689"/>
  <c r="F79" i="2689"/>
  <c r="G92" i="2689"/>
  <c r="F148" i="2689"/>
  <c r="G11" i="2689"/>
  <c r="G126" i="2689"/>
  <c r="F27" i="2689"/>
  <c r="F35" i="2689"/>
  <c r="G148" i="2689"/>
  <c r="F57" i="2689"/>
  <c r="F36" i="2689"/>
  <c r="F76" i="2689"/>
  <c r="G77" i="2689"/>
  <c r="G149" i="2689"/>
  <c r="F108" i="2689"/>
  <c r="G89" i="2689"/>
  <c r="F5" i="2689"/>
  <c r="G119" i="2689"/>
  <c r="F51" i="2689"/>
  <c r="F58" i="2689"/>
  <c r="F89" i="2689"/>
  <c r="F77" i="2689"/>
  <c r="F81" i="2689"/>
  <c r="G71" i="2689"/>
  <c r="F112" i="2689"/>
  <c r="F19" i="2689"/>
  <c r="F18" i="2689"/>
  <c r="F71" i="2689"/>
  <c r="G4" i="2689"/>
  <c r="G147" i="2689"/>
  <c r="G117" i="2689"/>
  <c r="G128" i="2689"/>
  <c r="F84" i="2689"/>
  <c r="F85" i="2689"/>
  <c r="G52" i="2689"/>
  <c r="G25" i="2689"/>
  <c r="G56" i="2689"/>
  <c r="F48" i="2689"/>
  <c r="F136" i="2689"/>
  <c r="F82" i="2689"/>
  <c r="G66" i="2689"/>
  <c r="F109" i="2689"/>
  <c r="F68" i="2689"/>
  <c r="G27" i="2689"/>
  <c r="F118" i="2689"/>
  <c r="F91" i="2689"/>
  <c r="F111" i="2689"/>
  <c r="G115" i="2689"/>
  <c r="G17" i="2689"/>
  <c r="G10" i="2689"/>
  <c r="F7" i="2689"/>
  <c r="G132" i="2689"/>
  <c r="G75" i="2689"/>
  <c r="F47" i="2689"/>
  <c r="G99" i="2689"/>
  <c r="F120" i="2689"/>
  <c r="F102" i="2689"/>
  <c r="F86" i="2689"/>
  <c r="F45" i="2689"/>
  <c r="F14" i="2689"/>
  <c r="G96" i="2689"/>
  <c r="G121" i="2689"/>
  <c r="F103" i="2689"/>
  <c r="G43" i="2689"/>
  <c r="G74" i="2689"/>
  <c r="F53" i="2689"/>
  <c r="F74" i="2689"/>
  <c r="F69" i="2689"/>
  <c r="F70" i="2689"/>
  <c r="G145" i="2689"/>
  <c r="G44" i="2689"/>
  <c r="G15" i="2689"/>
  <c r="G142" i="2689"/>
  <c r="F33" i="2689"/>
  <c r="F52" i="2689"/>
  <c r="G60" i="2689"/>
  <c r="G100" i="2689"/>
  <c r="F122" i="2689"/>
  <c r="F64" i="2689"/>
  <c r="F99" i="2689"/>
  <c r="F135" i="2689"/>
  <c r="F46" i="2689"/>
  <c r="G111" i="2689"/>
  <c r="F3" i="2689"/>
  <c r="G7" i="2689"/>
  <c r="F34" i="2689"/>
  <c r="F67" i="2689"/>
  <c r="F15" i="2689"/>
  <c r="G133" i="2689"/>
  <c r="G104" i="2689"/>
  <c r="F106" i="2689"/>
  <c r="F38" i="2689"/>
  <c r="F96" i="2689"/>
  <c r="F9" i="2689"/>
  <c r="G146" i="2689"/>
  <c r="G21" i="2689"/>
  <c r="G79" i="2689"/>
  <c r="G141" i="2689"/>
  <c r="G29" i="2689"/>
  <c r="F92" i="2689"/>
  <c r="G76" i="2689"/>
  <c r="F28" i="2689"/>
  <c r="G41" i="2689"/>
  <c r="G47" i="2689"/>
  <c r="G125" i="2689"/>
  <c r="F8" i="2689"/>
  <c r="G70" i="2689"/>
  <c r="F41" i="2689"/>
  <c r="F129" i="2689"/>
</calcChain>
</file>

<file path=xl/sharedStrings.xml><?xml version="1.0" encoding="utf-8"?>
<sst xmlns="http://schemas.openxmlformats.org/spreadsheetml/2006/main" count="4" uniqueCount="3">
  <si>
    <t>Freq</t>
  </si>
  <si>
    <t>AY, Raw</t>
  </si>
  <si>
    <t>AY, Broaden and Lower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</si>
</sst>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Consolas"/>
      <family val="3"/>
    </font>
    <font>
      <b/>
      <sz val="10"/>
      <name val="Consolas"/>
      <family val="3"/>
    </font>
    <font>
      <sz val="10"/>
      <color indexed="22"/>
      <name val="Consolas"/>
      <family val="3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2"/>
      <name val="Arial"/>
      <family val="2"/>
    </font>
    <font>
      <sz val="10"/>
      <color indexed="22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9" borderId="0" applyNumberFormat="0" applyBorder="0" applyAlignment="0" applyProtection="0"/>
    <xf numFmtId="0" fontId="8" fillId="3" borderId="0" applyNumberFormat="0" applyBorder="0" applyAlignment="0" applyProtection="0"/>
    <xf numFmtId="0" fontId="9" fillId="20" borderId="1" applyNumberFormat="0" applyAlignment="0" applyProtection="0"/>
    <xf numFmtId="0" fontId="10" fillId="21" borderId="2" applyNumberFormat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7" borderId="1" applyNumberFormat="0" applyAlignment="0" applyProtection="0"/>
    <xf numFmtId="0" fontId="17" fillId="0" borderId="6" applyNumberFormat="0" applyFill="0" applyAlignment="0" applyProtection="0"/>
    <xf numFmtId="0" fontId="18" fillId="22" borderId="0" applyNumberFormat="0" applyBorder="0" applyAlignment="0" applyProtection="0"/>
    <xf numFmtId="0" fontId="6" fillId="23" borderId="7" applyNumberFormat="0" applyFont="0" applyAlignment="0" applyProtection="0"/>
    <xf numFmtId="0" fontId="19" fillId="20" borderId="8" applyNumberForma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1" fillId="0" borderId="0"/>
  </cellStyleXfs>
  <cellXfs count="6">
    <xf numFmtId="0" fontId="0" fillId="0" borderId="0" xfId="0"/>
    <xf numFmtId="0" fontId="23" fillId="0" borderId="0" xfId="0" applyFont="1"/>
    <xf numFmtId="0" fontId="3" fillId="0" borderId="0" xfId="0" applyFont="1"/>
    <xf numFmtId="0" fontId="4" fillId="0" borderId="0" xfId="0" applyFont="1"/>
    <xf numFmtId="0" fontId="24" fillId="0" borderId="0" xfId="0" applyFont="1"/>
    <xf numFmtId="0" fontId="5" fillId="0" borderId="0" xfId="0" applyFont="1"/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2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FF"/>
      <rgbColor rgb="00FF0000"/>
      <rgbColor rgb="00008000"/>
      <rgbColor rgb="006600CC"/>
      <rgbColor rgb="00FF9900"/>
      <rgbColor rgb="00663300"/>
      <rgbColor rgb="0000FFFF"/>
      <rgbColor rgb="00FF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Secondary Response</a:t>
            </a:r>
            <a:r>
              <a:rPr lang="en-GB" baseline="0"/>
              <a:t> Spectra - with peak broadening and lowering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254724574113703E-2"/>
          <c:y val="7.7460685712801014E-2"/>
          <c:w val="0.88485998751747708"/>
          <c:h val="0.82980513755909946"/>
        </c:manualLayout>
      </c:layout>
      <c:scatterChart>
        <c:scatterStyle val="lineMarker"/>
        <c:varyColors val="0"/>
        <c:ser>
          <c:idx val="0"/>
          <c:order val="0"/>
          <c:tx>
            <c:strRef>
              <c:f>'Peak Broaden Example'!$G$2</c:f>
              <c:strCache>
                <c:ptCount val="1"/>
                <c:pt idx="0">
                  <c:v>AY, Broaden and Lower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'Peak Broaden Example'!$F$3:$F$149</c:f>
              <c:numCache>
                <c:formatCode>General</c:formatCode>
                <c:ptCount val="147"/>
                <c:pt idx="0">
                  <c:v>0.2</c:v>
                </c:pt>
                <c:pt idx="1">
                  <c:v>0.21504999999999999</c:v>
                </c:pt>
                <c:pt idx="2">
                  <c:v>0.29409999999999997</c:v>
                </c:pt>
                <c:pt idx="3">
                  <c:v>0.37229999999999996</c:v>
                </c:pt>
                <c:pt idx="4">
                  <c:v>0.41904999999999998</c:v>
                </c:pt>
                <c:pt idx="5">
                  <c:v>0.47090000000000004</c:v>
                </c:pt>
                <c:pt idx="6">
                  <c:v>0.51</c:v>
                </c:pt>
                <c:pt idx="7">
                  <c:v>0.5966999999999999</c:v>
                </c:pt>
                <c:pt idx="8">
                  <c:v>0.64515</c:v>
                </c:pt>
                <c:pt idx="9">
                  <c:v>0.69784999999999997</c:v>
                </c:pt>
                <c:pt idx="10">
                  <c:v>0.81599999999999995</c:v>
                </c:pt>
                <c:pt idx="11">
                  <c:v>0.91800000000000004</c:v>
                </c:pt>
                <c:pt idx="12">
                  <c:v>0.95455000000000001</c:v>
                </c:pt>
                <c:pt idx="13">
                  <c:v>1.0744</c:v>
                </c:pt>
                <c:pt idx="14">
                  <c:v>1.1169</c:v>
                </c:pt>
                <c:pt idx="15">
                  <c:v>1.16195</c:v>
                </c:pt>
                <c:pt idx="16">
                  <c:v>1.2078500000000001</c:v>
                </c:pt>
                <c:pt idx="17">
                  <c:v>1.2563</c:v>
                </c:pt>
                <c:pt idx="18">
                  <c:v>1.3064499999999999</c:v>
                </c:pt>
                <c:pt idx="19">
                  <c:v>1.4135500000000001</c:v>
                </c:pt>
                <c:pt idx="20">
                  <c:v>1.5283</c:v>
                </c:pt>
                <c:pt idx="21">
                  <c:v>1.5895000000000001</c:v>
                </c:pt>
                <c:pt idx="22">
                  <c:v>1.6532500000000001</c:v>
                </c:pt>
                <c:pt idx="23">
                  <c:v>1.7195500000000001</c:v>
                </c:pt>
                <c:pt idx="24">
                  <c:v>1.7884</c:v>
                </c:pt>
                <c:pt idx="25">
                  <c:v>1.8598000000000001</c:v>
                </c:pt>
                <c:pt idx="26">
                  <c:v>2.1760000000000002</c:v>
                </c:pt>
                <c:pt idx="27">
                  <c:v>2.2626999999999997</c:v>
                </c:pt>
                <c:pt idx="28">
                  <c:v>2.35365</c:v>
                </c:pt>
                <c:pt idx="29">
                  <c:v>2.6469</c:v>
                </c:pt>
                <c:pt idx="30">
                  <c:v>2.7531499999999998</c:v>
                </c:pt>
                <c:pt idx="31">
                  <c:v>2.8628</c:v>
                </c:pt>
                <c:pt idx="32">
                  <c:v>2.9775499999999999</c:v>
                </c:pt>
                <c:pt idx="33">
                  <c:v>4.0284499999999994</c:v>
                </c:pt>
                <c:pt idx="34">
                  <c:v>4.0748999999999995</c:v>
                </c:pt>
                <c:pt idx="35">
                  <c:v>4.9580500000000001</c:v>
                </c:pt>
                <c:pt idx="36">
                  <c:v>5.1560999999999995</c:v>
                </c:pt>
                <c:pt idx="37">
                  <c:v>5.5768499999999994</c:v>
                </c:pt>
                <c:pt idx="38">
                  <c:v>5.8003999999999998</c:v>
                </c:pt>
                <c:pt idx="39">
                  <c:v>6.0324499999999999</c:v>
                </c:pt>
                <c:pt idx="40">
                  <c:v>7.3388999999999998</c:v>
                </c:pt>
                <c:pt idx="41">
                  <c:v>7.9381500000000003</c:v>
                </c:pt>
                <c:pt idx="42">
                  <c:v>9.2862500000000008</c:v>
                </c:pt>
                <c:pt idx="43">
                  <c:v>9.6577000000000002</c:v>
                </c:pt>
                <c:pt idx="44">
                  <c:v>10.044449999999999</c:v>
                </c:pt>
                <c:pt idx="45">
                  <c:v>13.589549999999999</c:v>
                </c:pt>
                <c:pt idx="46">
                  <c:v>14.132349999999999</c:v>
                </c:pt>
                <c:pt idx="47">
                  <c:v>14.69815</c:v>
                </c:pt>
                <c:pt idx="48">
                  <c:v>17.8825</c:v>
                </c:pt>
                <c:pt idx="49">
                  <c:v>18.597799999999999</c:v>
                </c:pt>
                <c:pt idx="50">
                  <c:v>20.1158</c:v>
                </c:pt>
                <c:pt idx="51">
                  <c:v>20.919649999999997</c:v>
                </c:pt>
                <c:pt idx="52">
                  <c:v>21.75685</c:v>
                </c:pt>
                <c:pt idx="53">
                  <c:v>22.627399999999998</c:v>
                </c:pt>
                <c:pt idx="54">
                  <c:v>22.8888</c:v>
                </c:pt>
                <c:pt idx="55">
                  <c:v>30.967199999999998</c:v>
                </c:pt>
                <c:pt idx="56">
                  <c:v>31.324199999999998</c:v>
                </c:pt>
                <c:pt idx="57">
                  <c:v>32.577100000000002</c:v>
                </c:pt>
                <c:pt idx="58">
                  <c:v>44.0749</c:v>
                </c:pt>
                <c:pt idx="59">
                  <c:v>53.624499999999998</c:v>
                </c:pt>
                <c:pt idx="60">
                  <c:v>67.8523</c:v>
                </c:pt>
                <c:pt idx="61">
                  <c:v>69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100</c:v>
                </c:pt>
                <c:pt idx="106">
                  <c:v>100</c:v>
                </c:pt>
                <c:pt idx="107">
                  <c:v>100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100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</c:numCache>
            </c:numRef>
          </c:xVal>
          <c:yVal>
            <c:numRef>
              <c:f>'Peak Broaden Example'!$G$3:$G$149</c:f>
              <c:numCache>
                <c:formatCode>General</c:formatCode>
                <c:ptCount val="14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0.12</c:v>
                </c:pt>
                <c:pt idx="11">
                  <c:v>0.14000000000000001</c:v>
                </c:pt>
                <c:pt idx="12">
                  <c:v>0.15</c:v>
                </c:pt>
                <c:pt idx="13">
                  <c:v>0.16</c:v>
                </c:pt>
                <c:pt idx="14">
                  <c:v>0.18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0.27</c:v>
                </c:pt>
                <c:pt idx="22">
                  <c:v>0.3</c:v>
                </c:pt>
                <c:pt idx="23">
                  <c:v>0.34</c:v>
                </c:pt>
                <c:pt idx="24">
                  <c:v>0.37</c:v>
                </c:pt>
                <c:pt idx="25">
                  <c:v>0.39</c:v>
                </c:pt>
                <c:pt idx="26">
                  <c:v>0.39</c:v>
                </c:pt>
                <c:pt idx="27">
                  <c:v>0.41</c:v>
                </c:pt>
                <c:pt idx="28">
                  <c:v>0.52</c:v>
                </c:pt>
                <c:pt idx="29">
                  <c:v>0.6</c:v>
                </c:pt>
                <c:pt idx="30">
                  <c:v>0.76</c:v>
                </c:pt>
                <c:pt idx="31">
                  <c:v>0.9</c:v>
                </c:pt>
                <c:pt idx="32">
                  <c:v>0.93</c:v>
                </c:pt>
                <c:pt idx="33">
                  <c:v>0.93</c:v>
                </c:pt>
                <c:pt idx="34">
                  <c:v>0.92</c:v>
                </c:pt>
                <c:pt idx="35">
                  <c:v>1.08</c:v>
                </c:pt>
                <c:pt idx="36">
                  <c:v>1.1599999999999999</c:v>
                </c:pt>
                <c:pt idx="37">
                  <c:v>1.36</c:v>
                </c:pt>
                <c:pt idx="38">
                  <c:v>1.7</c:v>
                </c:pt>
                <c:pt idx="39">
                  <c:v>1.81</c:v>
                </c:pt>
                <c:pt idx="40">
                  <c:v>1.98</c:v>
                </c:pt>
                <c:pt idx="41">
                  <c:v>2.19</c:v>
                </c:pt>
                <c:pt idx="42">
                  <c:v>2.2269999999999999</c:v>
                </c:pt>
                <c:pt idx="43">
                  <c:v>2.2269999999999999</c:v>
                </c:pt>
                <c:pt idx="44">
                  <c:v>2.2269999999999999</c:v>
                </c:pt>
                <c:pt idx="45">
                  <c:v>2.2269999999999999</c:v>
                </c:pt>
                <c:pt idx="46">
                  <c:v>2.2269999999999999</c:v>
                </c:pt>
                <c:pt idx="47">
                  <c:v>2.11</c:v>
                </c:pt>
                <c:pt idx="48">
                  <c:v>2.09</c:v>
                </c:pt>
                <c:pt idx="49">
                  <c:v>1.87</c:v>
                </c:pt>
                <c:pt idx="50">
                  <c:v>1.57</c:v>
                </c:pt>
                <c:pt idx="51">
                  <c:v>1.55</c:v>
                </c:pt>
                <c:pt idx="52">
                  <c:v>1.35</c:v>
                </c:pt>
                <c:pt idx="53">
                  <c:v>1.27</c:v>
                </c:pt>
                <c:pt idx="54">
                  <c:v>1.17</c:v>
                </c:pt>
                <c:pt idx="55">
                  <c:v>1.17</c:v>
                </c:pt>
                <c:pt idx="56">
                  <c:v>1.1599999999999999</c:v>
                </c:pt>
                <c:pt idx="57">
                  <c:v>1.17</c:v>
                </c:pt>
                <c:pt idx="58">
                  <c:v>1.17</c:v>
                </c:pt>
                <c:pt idx="59">
                  <c:v>1.1100000000000001</c:v>
                </c:pt>
                <c:pt idx="60">
                  <c:v>1.1100000000000001</c:v>
                </c:pt>
                <c:pt idx="61">
                  <c:v>1.1100000000000001</c:v>
                </c:pt>
                <c:pt idx="62">
                  <c:v>1.1100000000000001</c:v>
                </c:pt>
                <c:pt idx="63">
                  <c:v>1.1100000000000001</c:v>
                </c:pt>
                <c:pt idx="64">
                  <c:v>1.1100000000000001</c:v>
                </c:pt>
                <c:pt idx="65">
                  <c:v>1.1100000000000001</c:v>
                </c:pt>
                <c:pt idx="66">
                  <c:v>1.1100000000000001</c:v>
                </c:pt>
                <c:pt idx="67">
                  <c:v>1.1100000000000001</c:v>
                </c:pt>
                <c:pt idx="68">
                  <c:v>1.1100000000000001</c:v>
                </c:pt>
                <c:pt idx="69">
                  <c:v>1.1100000000000001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1.1100000000000001</c:v>
                </c:pt>
                <c:pt idx="102">
                  <c:v>1.1100000000000001</c:v>
                </c:pt>
                <c:pt idx="103">
                  <c:v>1.1100000000000001</c:v>
                </c:pt>
                <c:pt idx="104">
                  <c:v>1.1100000000000001</c:v>
                </c:pt>
                <c:pt idx="105">
                  <c:v>1.1100000000000001</c:v>
                </c:pt>
                <c:pt idx="106">
                  <c:v>1.1100000000000001</c:v>
                </c:pt>
                <c:pt idx="107">
                  <c:v>1.1100000000000001</c:v>
                </c:pt>
                <c:pt idx="108">
                  <c:v>1.1100000000000001</c:v>
                </c:pt>
                <c:pt idx="109">
                  <c:v>1.1100000000000001</c:v>
                </c:pt>
                <c:pt idx="110">
                  <c:v>1.1100000000000001</c:v>
                </c:pt>
                <c:pt idx="111">
                  <c:v>1.1100000000000001</c:v>
                </c:pt>
                <c:pt idx="112">
                  <c:v>1.1100000000000001</c:v>
                </c:pt>
                <c:pt idx="113">
                  <c:v>1.1100000000000001</c:v>
                </c:pt>
                <c:pt idx="114">
                  <c:v>1.1100000000000001</c:v>
                </c:pt>
                <c:pt idx="115">
                  <c:v>1.1100000000000001</c:v>
                </c:pt>
                <c:pt idx="116">
                  <c:v>1.1100000000000001</c:v>
                </c:pt>
                <c:pt idx="117">
                  <c:v>1.1100000000000001</c:v>
                </c:pt>
                <c:pt idx="118">
                  <c:v>1.1100000000000001</c:v>
                </c:pt>
                <c:pt idx="119">
                  <c:v>1.1100000000000001</c:v>
                </c:pt>
                <c:pt idx="120">
                  <c:v>1.1100000000000001</c:v>
                </c:pt>
                <c:pt idx="121">
                  <c:v>1.1100000000000001</c:v>
                </c:pt>
                <c:pt idx="122">
                  <c:v>1.1100000000000001</c:v>
                </c:pt>
                <c:pt idx="123">
                  <c:v>1.1100000000000001</c:v>
                </c:pt>
                <c:pt idx="124">
                  <c:v>1.1100000000000001</c:v>
                </c:pt>
                <c:pt idx="125">
                  <c:v>1.1100000000000001</c:v>
                </c:pt>
                <c:pt idx="126">
                  <c:v>1.1100000000000001</c:v>
                </c:pt>
                <c:pt idx="127">
                  <c:v>1.1100000000000001</c:v>
                </c:pt>
                <c:pt idx="128">
                  <c:v>1.1100000000000001</c:v>
                </c:pt>
                <c:pt idx="129">
                  <c:v>1.1100000000000001</c:v>
                </c:pt>
                <c:pt idx="130">
                  <c:v>1.1100000000000001</c:v>
                </c:pt>
                <c:pt idx="131">
                  <c:v>1.1100000000000001</c:v>
                </c:pt>
                <c:pt idx="132">
                  <c:v>1.1100000000000001</c:v>
                </c:pt>
                <c:pt idx="133">
                  <c:v>1.1100000000000001</c:v>
                </c:pt>
                <c:pt idx="134">
                  <c:v>1.1100000000000001</c:v>
                </c:pt>
                <c:pt idx="135">
                  <c:v>1.1100000000000001</c:v>
                </c:pt>
                <c:pt idx="136">
                  <c:v>1.1100000000000001</c:v>
                </c:pt>
                <c:pt idx="137">
                  <c:v>1.1100000000000001</c:v>
                </c:pt>
                <c:pt idx="138">
                  <c:v>1.1100000000000001</c:v>
                </c:pt>
                <c:pt idx="139">
                  <c:v>1.1100000000000001</c:v>
                </c:pt>
                <c:pt idx="140">
                  <c:v>1.1100000000000001</c:v>
                </c:pt>
                <c:pt idx="141">
                  <c:v>1.1100000000000001</c:v>
                </c:pt>
                <c:pt idx="142">
                  <c:v>1.1100000000000001</c:v>
                </c:pt>
                <c:pt idx="143">
                  <c:v>1.1100000000000001</c:v>
                </c:pt>
                <c:pt idx="144">
                  <c:v>1.1100000000000001</c:v>
                </c:pt>
                <c:pt idx="145">
                  <c:v>1.1100000000000001</c:v>
                </c:pt>
                <c:pt idx="146">
                  <c:v>1.1100000000000001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F-4DE7-A2BF-B4D166E1A1A2}"/>
            </c:ext>
          </c:extLst>
        </c:ser>
        <c:ser>
          <c:idx val="1"/>
          <c:order val="1"/>
          <c:tx>
            <c:strRef>
              <c:f>'Peak Broaden Example'!$C$2</c:f>
              <c:strCache>
                <c:ptCount val="1"/>
                <c:pt idx="0">
                  <c:v>AY, Raw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'Peak Broaden Example'!$B$3:$B$149</c:f>
              <c:numCache>
                <c:formatCode>General</c:formatCode>
                <c:ptCount val="147"/>
                <c:pt idx="0">
                  <c:v>0.2</c:v>
                </c:pt>
                <c:pt idx="1">
                  <c:v>0.20799999999999999</c:v>
                </c:pt>
                <c:pt idx="2">
                  <c:v>0.216</c:v>
                </c:pt>
                <c:pt idx="3">
                  <c:v>0.22500000000000001</c:v>
                </c:pt>
                <c:pt idx="4">
                  <c:v>0.23400000000000001</c:v>
                </c:pt>
                <c:pt idx="5">
                  <c:v>0.24299999999999999</c:v>
                </c:pt>
                <c:pt idx="6">
                  <c:v>0.253</c:v>
                </c:pt>
                <c:pt idx="7">
                  <c:v>0.26300000000000001</c:v>
                </c:pt>
                <c:pt idx="8">
                  <c:v>0.27400000000000002</c:v>
                </c:pt>
                <c:pt idx="9">
                  <c:v>0.28499999999999998</c:v>
                </c:pt>
                <c:pt idx="10">
                  <c:v>0.29599999999999999</c:v>
                </c:pt>
                <c:pt idx="11">
                  <c:v>0.308</c:v>
                </c:pt>
                <c:pt idx="12">
                  <c:v>0.32</c:v>
                </c:pt>
                <c:pt idx="13">
                  <c:v>0.33300000000000002</c:v>
                </c:pt>
                <c:pt idx="14">
                  <c:v>0.34599999999999997</c:v>
                </c:pt>
                <c:pt idx="15">
                  <c:v>0.36</c:v>
                </c:pt>
                <c:pt idx="16">
                  <c:v>0.375</c:v>
                </c:pt>
                <c:pt idx="17">
                  <c:v>0.39</c:v>
                </c:pt>
                <c:pt idx="18">
                  <c:v>0.40500000000000003</c:v>
                </c:pt>
                <c:pt idx="19">
                  <c:v>0.42099999999999999</c:v>
                </c:pt>
                <c:pt idx="20">
                  <c:v>0.438</c:v>
                </c:pt>
                <c:pt idx="21">
                  <c:v>0.45600000000000002</c:v>
                </c:pt>
                <c:pt idx="22">
                  <c:v>0.47399999999999998</c:v>
                </c:pt>
                <c:pt idx="23">
                  <c:v>0.49299999999999999</c:v>
                </c:pt>
                <c:pt idx="24">
                  <c:v>0.51300000000000001</c:v>
                </c:pt>
                <c:pt idx="25">
                  <c:v>0.53300000000000003</c:v>
                </c:pt>
                <c:pt idx="26">
                  <c:v>0.55400000000000005</c:v>
                </c:pt>
                <c:pt idx="27">
                  <c:v>0.57699999999999996</c:v>
                </c:pt>
                <c:pt idx="28">
                  <c:v>0.6</c:v>
                </c:pt>
                <c:pt idx="29">
                  <c:v>0.624</c:v>
                </c:pt>
                <c:pt idx="30">
                  <c:v>0.64900000000000002</c:v>
                </c:pt>
                <c:pt idx="31">
                  <c:v>0.67500000000000004</c:v>
                </c:pt>
                <c:pt idx="32">
                  <c:v>0.70199999999999996</c:v>
                </c:pt>
                <c:pt idx="33">
                  <c:v>0.73</c:v>
                </c:pt>
                <c:pt idx="34">
                  <c:v>0.75900000000000001</c:v>
                </c:pt>
                <c:pt idx="35">
                  <c:v>0.78900000000000003</c:v>
                </c:pt>
                <c:pt idx="36">
                  <c:v>0.82099999999999995</c:v>
                </c:pt>
                <c:pt idx="37">
                  <c:v>0.85399999999999998</c:v>
                </c:pt>
                <c:pt idx="38">
                  <c:v>0.88800000000000001</c:v>
                </c:pt>
                <c:pt idx="39">
                  <c:v>0.92300000000000004</c:v>
                </c:pt>
                <c:pt idx="40">
                  <c:v>0.96</c:v>
                </c:pt>
                <c:pt idx="41">
                  <c:v>0.999</c:v>
                </c:pt>
                <c:pt idx="42">
                  <c:v>1.0389999999999999</c:v>
                </c:pt>
                <c:pt idx="43">
                  <c:v>1.08</c:v>
                </c:pt>
                <c:pt idx="44">
                  <c:v>1.123</c:v>
                </c:pt>
                <c:pt idx="45">
                  <c:v>1.1679999999999999</c:v>
                </c:pt>
                <c:pt idx="46">
                  <c:v>1.2150000000000001</c:v>
                </c:pt>
                <c:pt idx="47">
                  <c:v>1.264</c:v>
                </c:pt>
                <c:pt idx="48">
                  <c:v>1.3140000000000001</c:v>
                </c:pt>
                <c:pt idx="49">
                  <c:v>1.367</c:v>
                </c:pt>
                <c:pt idx="50">
                  <c:v>1.421</c:v>
                </c:pt>
                <c:pt idx="51">
                  <c:v>1.478</c:v>
                </c:pt>
                <c:pt idx="52">
                  <c:v>1.5369999999999999</c:v>
                </c:pt>
                <c:pt idx="53">
                  <c:v>1.599</c:v>
                </c:pt>
                <c:pt idx="54">
                  <c:v>1.663</c:v>
                </c:pt>
                <c:pt idx="55">
                  <c:v>1.7290000000000001</c:v>
                </c:pt>
                <c:pt idx="56">
                  <c:v>1.798</c:v>
                </c:pt>
                <c:pt idx="57">
                  <c:v>1.87</c:v>
                </c:pt>
                <c:pt idx="58">
                  <c:v>1.9450000000000001</c:v>
                </c:pt>
                <c:pt idx="59">
                  <c:v>2.0230000000000001</c:v>
                </c:pt>
                <c:pt idx="60">
                  <c:v>2.1040000000000001</c:v>
                </c:pt>
                <c:pt idx="61">
                  <c:v>2.1880000000000002</c:v>
                </c:pt>
                <c:pt idx="62">
                  <c:v>2.2759999999999998</c:v>
                </c:pt>
                <c:pt idx="63">
                  <c:v>2.367</c:v>
                </c:pt>
                <c:pt idx="64">
                  <c:v>2.4609999999999999</c:v>
                </c:pt>
                <c:pt idx="65">
                  <c:v>2.56</c:v>
                </c:pt>
                <c:pt idx="66">
                  <c:v>2.6619999999999999</c:v>
                </c:pt>
                <c:pt idx="67">
                  <c:v>2.7690000000000001</c:v>
                </c:pt>
                <c:pt idx="68">
                  <c:v>2.879</c:v>
                </c:pt>
                <c:pt idx="69">
                  <c:v>2.9950000000000001</c:v>
                </c:pt>
                <c:pt idx="70">
                  <c:v>3.1139999999999999</c:v>
                </c:pt>
                <c:pt idx="71">
                  <c:v>3.2389999999999999</c:v>
                </c:pt>
                <c:pt idx="72">
                  <c:v>3.3679999999999999</c:v>
                </c:pt>
                <c:pt idx="73">
                  <c:v>3.5030000000000001</c:v>
                </c:pt>
                <c:pt idx="74">
                  <c:v>3.6429999999999998</c:v>
                </c:pt>
                <c:pt idx="75">
                  <c:v>3.7890000000000001</c:v>
                </c:pt>
                <c:pt idx="76">
                  <c:v>3.9409999999999998</c:v>
                </c:pt>
                <c:pt idx="77">
                  <c:v>4.0979999999999999</c:v>
                </c:pt>
                <c:pt idx="78">
                  <c:v>4.2619999999999996</c:v>
                </c:pt>
                <c:pt idx="79">
                  <c:v>4.4329999999999998</c:v>
                </c:pt>
                <c:pt idx="80">
                  <c:v>4.6100000000000003</c:v>
                </c:pt>
                <c:pt idx="81">
                  <c:v>4.7939999999999996</c:v>
                </c:pt>
                <c:pt idx="82">
                  <c:v>4.9859999999999998</c:v>
                </c:pt>
                <c:pt idx="83">
                  <c:v>5.1859999999999999</c:v>
                </c:pt>
                <c:pt idx="84">
                  <c:v>5.3929999999999998</c:v>
                </c:pt>
                <c:pt idx="85">
                  <c:v>5.609</c:v>
                </c:pt>
                <c:pt idx="86">
                  <c:v>5.8330000000000002</c:v>
                </c:pt>
                <c:pt idx="87">
                  <c:v>6.0659999999999998</c:v>
                </c:pt>
                <c:pt idx="88">
                  <c:v>6.3090000000000002</c:v>
                </c:pt>
                <c:pt idx="89">
                  <c:v>6.5609999999999999</c:v>
                </c:pt>
                <c:pt idx="90">
                  <c:v>6.8239999999999998</c:v>
                </c:pt>
                <c:pt idx="91">
                  <c:v>7.0970000000000004</c:v>
                </c:pt>
                <c:pt idx="92">
                  <c:v>7.3810000000000002</c:v>
                </c:pt>
                <c:pt idx="93">
                  <c:v>7.6760000000000002</c:v>
                </c:pt>
                <c:pt idx="94">
                  <c:v>7.9829999999999997</c:v>
                </c:pt>
                <c:pt idx="95">
                  <c:v>8.3019999999999996</c:v>
                </c:pt>
                <c:pt idx="96">
                  <c:v>8.6340000000000003</c:v>
                </c:pt>
                <c:pt idx="97">
                  <c:v>8.98</c:v>
                </c:pt>
                <c:pt idx="98">
                  <c:v>9.3390000000000004</c:v>
                </c:pt>
                <c:pt idx="99">
                  <c:v>9.7119999999999997</c:v>
                </c:pt>
                <c:pt idx="100">
                  <c:v>10.101000000000001</c:v>
                </c:pt>
                <c:pt idx="101">
                  <c:v>10.505000000000001</c:v>
                </c:pt>
                <c:pt idx="102">
                  <c:v>10.925000000000001</c:v>
                </c:pt>
                <c:pt idx="103">
                  <c:v>11.362</c:v>
                </c:pt>
                <c:pt idx="104">
                  <c:v>11.817</c:v>
                </c:pt>
                <c:pt idx="105">
                  <c:v>12.289</c:v>
                </c:pt>
                <c:pt idx="106">
                  <c:v>12.781000000000001</c:v>
                </c:pt>
                <c:pt idx="107">
                  <c:v>13.292</c:v>
                </c:pt>
                <c:pt idx="108">
                  <c:v>13.824</c:v>
                </c:pt>
                <c:pt idx="109">
                  <c:v>14.377000000000001</c:v>
                </c:pt>
                <c:pt idx="110">
                  <c:v>14.952</c:v>
                </c:pt>
                <c:pt idx="111">
                  <c:v>15.55</c:v>
                </c:pt>
                <c:pt idx="112">
                  <c:v>16.172000000000001</c:v>
                </c:pt>
                <c:pt idx="113">
                  <c:v>16.818999999999999</c:v>
                </c:pt>
                <c:pt idx="114">
                  <c:v>17.492000000000001</c:v>
                </c:pt>
                <c:pt idx="115">
                  <c:v>18.190999999999999</c:v>
                </c:pt>
                <c:pt idx="116">
                  <c:v>18.919</c:v>
                </c:pt>
                <c:pt idx="117">
                  <c:v>19.675999999999998</c:v>
                </c:pt>
                <c:pt idx="118">
                  <c:v>20.463000000000001</c:v>
                </c:pt>
                <c:pt idx="119">
                  <c:v>21.280999999999999</c:v>
                </c:pt>
                <c:pt idx="120">
                  <c:v>22.132999999999999</c:v>
                </c:pt>
                <c:pt idx="121">
                  <c:v>23.018000000000001</c:v>
                </c:pt>
                <c:pt idx="122">
                  <c:v>23.939</c:v>
                </c:pt>
                <c:pt idx="123">
                  <c:v>24.896000000000001</c:v>
                </c:pt>
                <c:pt idx="124">
                  <c:v>25.891999999999999</c:v>
                </c:pt>
                <c:pt idx="125">
                  <c:v>26.928000000000001</c:v>
                </c:pt>
                <c:pt idx="126">
                  <c:v>28.004999999999999</c:v>
                </c:pt>
                <c:pt idx="127">
                  <c:v>29.125</c:v>
                </c:pt>
                <c:pt idx="128">
                  <c:v>30.29</c:v>
                </c:pt>
                <c:pt idx="129">
                  <c:v>31.501000000000001</c:v>
                </c:pt>
                <c:pt idx="130">
                  <c:v>32.762</c:v>
                </c:pt>
                <c:pt idx="131">
                  <c:v>34.072000000000003</c:v>
                </c:pt>
                <c:pt idx="132">
                  <c:v>35.435000000000002</c:v>
                </c:pt>
                <c:pt idx="133">
                  <c:v>36.851999999999997</c:v>
                </c:pt>
                <c:pt idx="134">
                  <c:v>38.326000000000001</c:v>
                </c:pt>
                <c:pt idx="135">
                  <c:v>39.859000000000002</c:v>
                </c:pt>
                <c:pt idx="136">
                  <c:v>41.454000000000001</c:v>
                </c:pt>
                <c:pt idx="137">
                  <c:v>43.112000000000002</c:v>
                </c:pt>
                <c:pt idx="138">
                  <c:v>44.835999999999999</c:v>
                </c:pt>
                <c:pt idx="139">
                  <c:v>46.63</c:v>
                </c:pt>
                <c:pt idx="140">
                  <c:v>48.494999999999997</c:v>
                </c:pt>
                <c:pt idx="141">
                  <c:v>50.435000000000002</c:v>
                </c:pt>
                <c:pt idx="142">
                  <c:v>52.451999999999998</c:v>
                </c:pt>
                <c:pt idx="143">
                  <c:v>54.55</c:v>
                </c:pt>
                <c:pt idx="144">
                  <c:v>56.731999999999999</c:v>
                </c:pt>
                <c:pt idx="145">
                  <c:v>59.002000000000002</c:v>
                </c:pt>
                <c:pt idx="146">
                  <c:v>60</c:v>
                </c:pt>
              </c:numCache>
            </c:numRef>
          </c:xVal>
          <c:yVal>
            <c:numRef>
              <c:f>'Peak Broaden Example'!$C$3:$C$149</c:f>
              <c:numCache>
                <c:formatCode>General</c:formatCode>
                <c:ptCount val="147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0.06</c:v>
                </c:pt>
                <c:pt idx="27">
                  <c:v>0.06</c:v>
                </c:pt>
                <c:pt idx="28">
                  <c:v>7.0000000000000007E-2</c:v>
                </c:pt>
                <c:pt idx="29">
                  <c:v>7.0000000000000007E-2</c:v>
                </c:pt>
                <c:pt idx="30">
                  <c:v>7.0000000000000007E-2</c:v>
                </c:pt>
                <c:pt idx="31">
                  <c:v>7.0000000000000007E-2</c:v>
                </c:pt>
                <c:pt idx="32">
                  <c:v>0.08</c:v>
                </c:pt>
                <c:pt idx="33">
                  <c:v>0.08</c:v>
                </c:pt>
                <c:pt idx="34">
                  <c:v>0.09</c:v>
                </c:pt>
                <c:pt idx="35">
                  <c:v>0.09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0.12</c:v>
                </c:pt>
                <c:pt idx="41">
                  <c:v>0.12</c:v>
                </c:pt>
                <c:pt idx="42">
                  <c:v>0.12</c:v>
                </c:pt>
                <c:pt idx="43">
                  <c:v>0.14000000000000001</c:v>
                </c:pt>
                <c:pt idx="44">
                  <c:v>0.15</c:v>
                </c:pt>
                <c:pt idx="45">
                  <c:v>0.15</c:v>
                </c:pt>
                <c:pt idx="46">
                  <c:v>0.15</c:v>
                </c:pt>
                <c:pt idx="47">
                  <c:v>0.16</c:v>
                </c:pt>
                <c:pt idx="48">
                  <c:v>0.18</c:v>
                </c:pt>
                <c:pt idx="49">
                  <c:v>0.2</c:v>
                </c:pt>
                <c:pt idx="50">
                  <c:v>0.21</c:v>
                </c:pt>
                <c:pt idx="51">
                  <c:v>0.22</c:v>
                </c:pt>
                <c:pt idx="52">
                  <c:v>0.23</c:v>
                </c:pt>
                <c:pt idx="53">
                  <c:v>0.23</c:v>
                </c:pt>
                <c:pt idx="54">
                  <c:v>0.24</c:v>
                </c:pt>
                <c:pt idx="55">
                  <c:v>0.24</c:v>
                </c:pt>
                <c:pt idx="56">
                  <c:v>0.25</c:v>
                </c:pt>
                <c:pt idx="57">
                  <c:v>0.27</c:v>
                </c:pt>
                <c:pt idx="58">
                  <c:v>0.3</c:v>
                </c:pt>
                <c:pt idx="59">
                  <c:v>0.34</c:v>
                </c:pt>
                <c:pt idx="60">
                  <c:v>0.37</c:v>
                </c:pt>
                <c:pt idx="61">
                  <c:v>0.39</c:v>
                </c:pt>
                <c:pt idx="62">
                  <c:v>0.39</c:v>
                </c:pt>
                <c:pt idx="63">
                  <c:v>0.38</c:v>
                </c:pt>
                <c:pt idx="64">
                  <c:v>0.38</c:v>
                </c:pt>
                <c:pt idx="65">
                  <c:v>0.39</c:v>
                </c:pt>
                <c:pt idx="66">
                  <c:v>0.41</c:v>
                </c:pt>
                <c:pt idx="67">
                  <c:v>0.52</c:v>
                </c:pt>
                <c:pt idx="68">
                  <c:v>0.52</c:v>
                </c:pt>
                <c:pt idx="69">
                  <c:v>0.5</c:v>
                </c:pt>
                <c:pt idx="70">
                  <c:v>0.6</c:v>
                </c:pt>
                <c:pt idx="71">
                  <c:v>0.76</c:v>
                </c:pt>
                <c:pt idx="72">
                  <c:v>0.9</c:v>
                </c:pt>
                <c:pt idx="73">
                  <c:v>0.93</c:v>
                </c:pt>
                <c:pt idx="74">
                  <c:v>0.8</c:v>
                </c:pt>
                <c:pt idx="75">
                  <c:v>0.62</c:v>
                </c:pt>
                <c:pt idx="76">
                  <c:v>0.54</c:v>
                </c:pt>
                <c:pt idx="77">
                  <c:v>0.56999999999999995</c:v>
                </c:pt>
                <c:pt idx="78">
                  <c:v>0.66</c:v>
                </c:pt>
                <c:pt idx="79">
                  <c:v>0.74</c:v>
                </c:pt>
                <c:pt idx="80">
                  <c:v>0.82</c:v>
                </c:pt>
                <c:pt idx="81">
                  <c:v>0.92</c:v>
                </c:pt>
                <c:pt idx="82">
                  <c:v>0.92</c:v>
                </c:pt>
                <c:pt idx="83">
                  <c:v>0.86</c:v>
                </c:pt>
                <c:pt idx="84">
                  <c:v>0.81</c:v>
                </c:pt>
                <c:pt idx="85">
                  <c:v>0.9</c:v>
                </c:pt>
                <c:pt idx="86">
                  <c:v>1.08</c:v>
                </c:pt>
                <c:pt idx="87">
                  <c:v>1.1599999999999999</c:v>
                </c:pt>
                <c:pt idx="88">
                  <c:v>1.1100000000000001</c:v>
                </c:pt>
                <c:pt idx="89">
                  <c:v>1.36</c:v>
                </c:pt>
                <c:pt idx="90">
                  <c:v>1.7</c:v>
                </c:pt>
                <c:pt idx="91">
                  <c:v>1.81</c:v>
                </c:pt>
                <c:pt idx="92">
                  <c:v>1.61</c:v>
                </c:pt>
                <c:pt idx="93">
                  <c:v>1.7</c:v>
                </c:pt>
                <c:pt idx="94">
                  <c:v>1.56</c:v>
                </c:pt>
                <c:pt idx="95">
                  <c:v>1.69</c:v>
                </c:pt>
                <c:pt idx="96">
                  <c:v>1.98</c:v>
                </c:pt>
                <c:pt idx="97">
                  <c:v>1.93</c:v>
                </c:pt>
                <c:pt idx="98">
                  <c:v>2.19</c:v>
                </c:pt>
                <c:pt idx="99">
                  <c:v>2.16</c:v>
                </c:pt>
                <c:pt idx="100">
                  <c:v>2.04</c:v>
                </c:pt>
                <c:pt idx="101">
                  <c:v>2.08</c:v>
                </c:pt>
                <c:pt idx="102">
                  <c:v>2.41</c:v>
                </c:pt>
                <c:pt idx="103">
                  <c:v>2.46</c:v>
                </c:pt>
                <c:pt idx="104">
                  <c:v>2.62</c:v>
                </c:pt>
                <c:pt idx="105">
                  <c:v>2.39</c:v>
                </c:pt>
                <c:pt idx="106">
                  <c:v>2.11</c:v>
                </c:pt>
                <c:pt idx="107">
                  <c:v>2.02</c:v>
                </c:pt>
                <c:pt idx="108">
                  <c:v>1.81</c:v>
                </c:pt>
                <c:pt idx="109">
                  <c:v>1.77</c:v>
                </c:pt>
                <c:pt idx="110">
                  <c:v>1.81</c:v>
                </c:pt>
                <c:pt idx="111">
                  <c:v>2.09</c:v>
                </c:pt>
                <c:pt idx="112">
                  <c:v>1.87</c:v>
                </c:pt>
                <c:pt idx="113">
                  <c:v>1.51</c:v>
                </c:pt>
                <c:pt idx="114">
                  <c:v>1.57</c:v>
                </c:pt>
                <c:pt idx="115">
                  <c:v>1.55</c:v>
                </c:pt>
                <c:pt idx="116">
                  <c:v>1.35</c:v>
                </c:pt>
                <c:pt idx="117">
                  <c:v>1.27</c:v>
                </c:pt>
                <c:pt idx="118">
                  <c:v>1.08</c:v>
                </c:pt>
                <c:pt idx="119">
                  <c:v>0.97</c:v>
                </c:pt>
                <c:pt idx="120">
                  <c:v>1.0900000000000001</c:v>
                </c:pt>
                <c:pt idx="121">
                  <c:v>1.03</c:v>
                </c:pt>
                <c:pt idx="122">
                  <c:v>1.08</c:v>
                </c:pt>
                <c:pt idx="123">
                  <c:v>1.1299999999999999</c:v>
                </c:pt>
                <c:pt idx="124">
                  <c:v>1.1599999999999999</c:v>
                </c:pt>
                <c:pt idx="125">
                  <c:v>1.17</c:v>
                </c:pt>
                <c:pt idx="126">
                  <c:v>1.07</c:v>
                </c:pt>
                <c:pt idx="127">
                  <c:v>1.07</c:v>
                </c:pt>
                <c:pt idx="128">
                  <c:v>0.97</c:v>
                </c:pt>
                <c:pt idx="129">
                  <c:v>1.0900000000000001</c:v>
                </c:pt>
                <c:pt idx="130">
                  <c:v>1.03</c:v>
                </c:pt>
                <c:pt idx="131">
                  <c:v>1.08</c:v>
                </c:pt>
                <c:pt idx="132">
                  <c:v>1.1299999999999999</c:v>
                </c:pt>
                <c:pt idx="133">
                  <c:v>1.1599999999999999</c:v>
                </c:pt>
                <c:pt idx="134">
                  <c:v>1.17</c:v>
                </c:pt>
                <c:pt idx="135">
                  <c:v>1</c:v>
                </c:pt>
                <c:pt idx="136">
                  <c:v>0.98</c:v>
                </c:pt>
                <c:pt idx="137">
                  <c:v>0.96</c:v>
                </c:pt>
                <c:pt idx="138">
                  <c:v>1.02</c:v>
                </c:pt>
                <c:pt idx="139">
                  <c:v>1.1100000000000001</c:v>
                </c:pt>
                <c:pt idx="140">
                  <c:v>0.98</c:v>
                </c:pt>
                <c:pt idx="141">
                  <c:v>0.98</c:v>
                </c:pt>
                <c:pt idx="142">
                  <c:v>0.94</c:v>
                </c:pt>
                <c:pt idx="143">
                  <c:v>0.98</c:v>
                </c:pt>
                <c:pt idx="144">
                  <c:v>1.02</c:v>
                </c:pt>
                <c:pt idx="145">
                  <c:v>1.05</c:v>
                </c:pt>
                <c:pt idx="146">
                  <c:v>0.99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5F-4DE7-A2BF-B4D166E1A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754176"/>
        <c:axId val="184756096"/>
      </c:scatterChart>
      <c:valAx>
        <c:axId val="184754176"/>
        <c:scaling>
          <c:logBase val="10"/>
          <c:orientation val="minMax"/>
          <c:max val="10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Frequency</a:t>
                </a:r>
                <a:r>
                  <a:rPr lang="en-GB" baseline="0"/>
                  <a:t> (Hz)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756096"/>
        <c:crosses val="autoZero"/>
        <c:crossBetween val="midCat"/>
      </c:valAx>
      <c:valAx>
        <c:axId val="18475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Acceleration</a:t>
                </a:r>
                <a:r>
                  <a:rPr lang="en-GB" baseline="0"/>
                  <a:t> (g)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754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497517658127266"/>
          <c:y val="0.24347519075213706"/>
          <c:w val="0.20238101982239556"/>
          <c:h val="7.04857492749207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315445</xdr:colOff>
      <xdr:row>1</xdr:row>
      <xdr:rowOff>14942</xdr:rowOff>
    </xdr:from>
    <xdr:to>
      <xdr:col>19</xdr:col>
      <xdr:colOff>201705</xdr:colOff>
      <xdr:row>38</xdr:row>
      <xdr:rowOff>14942</xdr:rowOff>
    </xdr:to>
    <xdr:graphicFrame macro="">
      <xdr:nvGraphicFramePr>
        <xdr:cNvPr id="16077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180"/>
  <sheetViews>
    <sheetView tabSelected="1" zoomScale="85" zoomScaleNormal="85" workbookViewId="0">
      <selection activeCell="D11" sqref="D11"/>
    </sheetView>
  </sheetViews>
  <sheetFormatPr defaultRowHeight="12.5" x14ac:dyDescent="0.25"/>
  <cols>
    <col min="5" max="5" width="9.1796875" style="4"/>
  </cols>
  <sheetData>
    <row r="2" spans="2:7" ht="13" x14ac:dyDescent="0.3">
      <c r="B2" s="3" t="s">
        <v>0</v>
      </c>
      <c r="C2" s="3" t="s">
        <v>1</v>
      </c>
      <c r="D2" s="3"/>
      <c r="F2" s="3" t="s">
        <v>0</v>
      </c>
      <c r="G2" s="3" t="s">
        <v>2</v>
      </c>
    </row>
    <row r="3" spans="2:7" ht="13" x14ac:dyDescent="0.3">
      <c r="B3" s="2">
        <v>0.2</v>
      </c>
      <c r="C3" s="2">
        <v>0.01</v>
      </c>
      <c r="D3" s="2"/>
      <c r="E3" s="5">
        <v>1</v>
      </c>
      <c r="F3" s="1">
        <f t="shared" ref="F3:F34" si="0">BroadenPeaksFunction($B$3:$B$149,$C$3:$C$149,1,$E3)</f>
        <v>0.2</v>
      </c>
      <c r="G3" s="1">
        <f t="shared" ref="G3:G34" si="1">BroadenPeaksFunction($B$3:$B$149,$C$3:$C$149,2,$E3)</f>
        <v>0.01</v>
      </c>
    </row>
    <row r="4" spans="2:7" ht="13" x14ac:dyDescent="0.3">
      <c r="B4" s="2">
        <v>0.20799999999999999</v>
      </c>
      <c r="C4" s="2">
        <v>0.01</v>
      </c>
      <c r="D4" s="2"/>
      <c r="E4" s="5">
        <v>2</v>
      </c>
      <c r="F4" s="1">
        <f t="shared" si="0"/>
        <v>0.21504999999999999</v>
      </c>
      <c r="G4" s="1">
        <f t="shared" si="1"/>
        <v>0.02</v>
      </c>
    </row>
    <row r="5" spans="2:7" ht="13" x14ac:dyDescent="0.3">
      <c r="B5" s="2">
        <v>0.216</v>
      </c>
      <c r="C5" s="2">
        <v>0.01</v>
      </c>
      <c r="D5" s="2"/>
      <c r="E5" s="5">
        <v>3</v>
      </c>
      <c r="F5" s="1">
        <f t="shared" si="0"/>
        <v>0.29409999999999997</v>
      </c>
      <c r="G5" s="1">
        <f t="shared" si="1"/>
        <v>0.03</v>
      </c>
    </row>
    <row r="6" spans="2:7" ht="13" x14ac:dyDescent="0.3">
      <c r="B6" s="2">
        <v>0.22500000000000001</v>
      </c>
      <c r="C6" s="2">
        <v>0.01</v>
      </c>
      <c r="D6" s="2"/>
      <c r="E6" s="5">
        <v>4</v>
      </c>
      <c r="F6" s="1">
        <f t="shared" si="0"/>
        <v>0.37229999999999996</v>
      </c>
      <c r="G6" s="1">
        <f t="shared" si="1"/>
        <v>0.04</v>
      </c>
    </row>
    <row r="7" spans="2:7" ht="13" x14ac:dyDescent="0.3">
      <c r="B7" s="2">
        <v>0.23400000000000001</v>
      </c>
      <c r="C7" s="2">
        <v>0.01</v>
      </c>
      <c r="D7" s="2"/>
      <c r="E7" s="5">
        <v>5</v>
      </c>
      <c r="F7" s="1">
        <f t="shared" si="0"/>
        <v>0.41904999999999998</v>
      </c>
      <c r="G7" s="1">
        <f t="shared" si="1"/>
        <v>0.05</v>
      </c>
    </row>
    <row r="8" spans="2:7" ht="13" x14ac:dyDescent="0.3">
      <c r="B8" s="2">
        <v>0.24299999999999999</v>
      </c>
      <c r="C8" s="2">
        <v>0.01</v>
      </c>
      <c r="D8" s="2"/>
      <c r="E8" s="5">
        <v>6</v>
      </c>
      <c r="F8" s="1">
        <f t="shared" si="0"/>
        <v>0.47090000000000004</v>
      </c>
      <c r="G8" s="1">
        <f t="shared" si="1"/>
        <v>0.06</v>
      </c>
    </row>
    <row r="9" spans="2:7" ht="13" x14ac:dyDescent="0.3">
      <c r="B9" s="2">
        <v>0.253</v>
      </c>
      <c r="C9" s="2">
        <v>0.02</v>
      </c>
      <c r="D9" s="2"/>
      <c r="E9" s="5">
        <v>7</v>
      </c>
      <c r="F9" s="1">
        <f t="shared" si="0"/>
        <v>0.51</v>
      </c>
      <c r="G9" s="1">
        <f t="shared" si="1"/>
        <v>7.0000000000000007E-2</v>
      </c>
    </row>
    <row r="10" spans="2:7" ht="13" x14ac:dyDescent="0.3">
      <c r="B10" s="2">
        <v>0.26300000000000001</v>
      </c>
      <c r="C10" s="2">
        <v>0.02</v>
      </c>
      <c r="D10" s="2"/>
      <c r="E10" s="5">
        <v>8</v>
      </c>
      <c r="F10" s="1">
        <f t="shared" si="0"/>
        <v>0.5966999999999999</v>
      </c>
      <c r="G10" s="1">
        <f t="shared" si="1"/>
        <v>0.08</v>
      </c>
    </row>
    <row r="11" spans="2:7" ht="13" x14ac:dyDescent="0.3">
      <c r="B11" s="2">
        <v>0.27400000000000002</v>
      </c>
      <c r="C11" s="2">
        <v>0.02</v>
      </c>
      <c r="D11" s="2"/>
      <c r="E11" s="5">
        <v>9</v>
      </c>
      <c r="F11" s="1">
        <f t="shared" si="0"/>
        <v>0.64515</v>
      </c>
      <c r="G11" s="1">
        <f t="shared" si="1"/>
        <v>0.09</v>
      </c>
    </row>
    <row r="12" spans="2:7" ht="13" x14ac:dyDescent="0.3">
      <c r="B12" s="2">
        <v>0.28499999999999998</v>
      </c>
      <c r="C12" s="2">
        <v>0.02</v>
      </c>
      <c r="D12" s="2"/>
      <c r="E12" s="5">
        <v>10</v>
      </c>
      <c r="F12" s="1">
        <f t="shared" si="0"/>
        <v>0.69784999999999997</v>
      </c>
      <c r="G12" s="1">
        <f t="shared" si="1"/>
        <v>0.1</v>
      </c>
    </row>
    <row r="13" spans="2:7" ht="13" x14ac:dyDescent="0.3">
      <c r="B13" s="2">
        <v>0.29599999999999999</v>
      </c>
      <c r="C13" s="2">
        <v>0.02</v>
      </c>
      <c r="D13" s="2"/>
      <c r="E13" s="5">
        <v>11</v>
      </c>
      <c r="F13" s="1">
        <f t="shared" si="0"/>
        <v>0.81599999999999995</v>
      </c>
      <c r="G13" s="1">
        <f t="shared" si="1"/>
        <v>0.12</v>
      </c>
    </row>
    <row r="14" spans="2:7" ht="13" x14ac:dyDescent="0.3">
      <c r="B14" s="2">
        <v>0.308</v>
      </c>
      <c r="C14" s="2">
        <v>0.02</v>
      </c>
      <c r="D14" s="2"/>
      <c r="E14" s="5">
        <v>12</v>
      </c>
      <c r="F14" s="1">
        <f t="shared" si="0"/>
        <v>0.91800000000000004</v>
      </c>
      <c r="G14" s="1">
        <f t="shared" si="1"/>
        <v>0.14000000000000001</v>
      </c>
    </row>
    <row r="15" spans="2:7" ht="13" x14ac:dyDescent="0.3">
      <c r="B15" s="2">
        <v>0.32</v>
      </c>
      <c r="C15" s="2">
        <v>0.02</v>
      </c>
      <c r="D15" s="2"/>
      <c r="E15" s="5">
        <v>13</v>
      </c>
      <c r="F15" s="1">
        <f t="shared" si="0"/>
        <v>0.95455000000000001</v>
      </c>
      <c r="G15" s="1">
        <f t="shared" si="1"/>
        <v>0.15</v>
      </c>
    </row>
    <row r="16" spans="2:7" ht="13" x14ac:dyDescent="0.3">
      <c r="B16" s="2">
        <v>0.33300000000000002</v>
      </c>
      <c r="C16" s="2">
        <v>0.02</v>
      </c>
      <c r="D16" s="2"/>
      <c r="E16" s="5">
        <v>14</v>
      </c>
      <c r="F16" s="1">
        <f t="shared" si="0"/>
        <v>1.0744</v>
      </c>
      <c r="G16" s="1">
        <f t="shared" si="1"/>
        <v>0.16</v>
      </c>
    </row>
    <row r="17" spans="2:7" ht="13" x14ac:dyDescent="0.3">
      <c r="B17" s="2">
        <v>0.34599999999999997</v>
      </c>
      <c r="C17" s="2">
        <v>0.03</v>
      </c>
      <c r="D17" s="2"/>
      <c r="E17" s="5">
        <v>15</v>
      </c>
      <c r="F17" s="1">
        <f t="shared" si="0"/>
        <v>1.1169</v>
      </c>
      <c r="G17" s="1">
        <f t="shared" si="1"/>
        <v>0.18</v>
      </c>
    </row>
    <row r="18" spans="2:7" ht="13" x14ac:dyDescent="0.3">
      <c r="B18" s="2">
        <v>0.36</v>
      </c>
      <c r="C18" s="2">
        <v>0.03</v>
      </c>
      <c r="D18" s="2"/>
      <c r="E18" s="5">
        <v>16</v>
      </c>
      <c r="F18" s="1">
        <f t="shared" si="0"/>
        <v>1.16195</v>
      </c>
      <c r="G18" s="1">
        <f t="shared" si="1"/>
        <v>0.2</v>
      </c>
    </row>
    <row r="19" spans="2:7" ht="13" x14ac:dyDescent="0.3">
      <c r="B19" s="2">
        <v>0.375</v>
      </c>
      <c r="C19" s="2">
        <v>0.03</v>
      </c>
      <c r="D19" s="2"/>
      <c r="E19" s="5">
        <v>17</v>
      </c>
      <c r="F19" s="1">
        <f t="shared" si="0"/>
        <v>1.2078500000000001</v>
      </c>
      <c r="G19" s="1">
        <f t="shared" si="1"/>
        <v>0.21</v>
      </c>
    </row>
    <row r="20" spans="2:7" ht="13" x14ac:dyDescent="0.3">
      <c r="B20" s="2">
        <v>0.39</v>
      </c>
      <c r="C20" s="2">
        <v>0.03</v>
      </c>
      <c r="D20" s="2"/>
      <c r="E20" s="5">
        <v>18</v>
      </c>
      <c r="F20" s="1">
        <f t="shared" si="0"/>
        <v>1.2563</v>
      </c>
      <c r="G20" s="1">
        <f t="shared" si="1"/>
        <v>0.22</v>
      </c>
    </row>
    <row r="21" spans="2:7" ht="13" x14ac:dyDescent="0.3">
      <c r="B21" s="2">
        <v>0.40500000000000003</v>
      </c>
      <c r="C21" s="2">
        <v>0.03</v>
      </c>
      <c r="D21" s="2"/>
      <c r="E21" s="5">
        <v>19</v>
      </c>
      <c r="F21" s="1">
        <f t="shared" si="0"/>
        <v>1.3064499999999999</v>
      </c>
      <c r="G21" s="1">
        <f t="shared" si="1"/>
        <v>0.23</v>
      </c>
    </row>
    <row r="22" spans="2:7" ht="13" x14ac:dyDescent="0.3">
      <c r="B22" s="2">
        <v>0.42099999999999999</v>
      </c>
      <c r="C22" s="2">
        <v>0.03</v>
      </c>
      <c r="D22" s="2"/>
      <c r="E22" s="5">
        <v>20</v>
      </c>
      <c r="F22" s="1">
        <f t="shared" si="0"/>
        <v>1.4135500000000001</v>
      </c>
      <c r="G22" s="1">
        <f t="shared" si="1"/>
        <v>0.24</v>
      </c>
    </row>
    <row r="23" spans="2:7" ht="13" x14ac:dyDescent="0.3">
      <c r="B23" s="2">
        <v>0.438</v>
      </c>
      <c r="C23" s="2">
        <v>0.04</v>
      </c>
      <c r="D23" s="2"/>
      <c r="E23" s="5">
        <v>21</v>
      </c>
      <c r="F23" s="1">
        <f t="shared" si="0"/>
        <v>1.5283</v>
      </c>
      <c r="G23" s="1">
        <f t="shared" si="1"/>
        <v>0.25</v>
      </c>
    </row>
    <row r="24" spans="2:7" ht="13" x14ac:dyDescent="0.3">
      <c r="B24" s="2">
        <v>0.45600000000000002</v>
      </c>
      <c r="C24" s="2">
        <v>0.04</v>
      </c>
      <c r="D24" s="2"/>
      <c r="E24" s="5">
        <v>22</v>
      </c>
      <c r="F24" s="1">
        <f t="shared" si="0"/>
        <v>1.5895000000000001</v>
      </c>
      <c r="G24" s="1">
        <f t="shared" si="1"/>
        <v>0.27</v>
      </c>
    </row>
    <row r="25" spans="2:7" ht="13" x14ac:dyDescent="0.3">
      <c r="B25" s="2">
        <v>0.47399999999999998</v>
      </c>
      <c r="C25" s="2">
        <v>0.04</v>
      </c>
      <c r="D25" s="2"/>
      <c r="E25" s="5">
        <v>23</v>
      </c>
      <c r="F25" s="1">
        <f t="shared" si="0"/>
        <v>1.6532500000000001</v>
      </c>
      <c r="G25" s="1">
        <f t="shared" si="1"/>
        <v>0.3</v>
      </c>
    </row>
    <row r="26" spans="2:7" ht="13" x14ac:dyDescent="0.3">
      <c r="B26" s="2">
        <v>0.49299999999999999</v>
      </c>
      <c r="C26" s="2">
        <v>0.05</v>
      </c>
      <c r="D26" s="2"/>
      <c r="E26" s="5">
        <v>24</v>
      </c>
      <c r="F26" s="1">
        <f t="shared" si="0"/>
        <v>1.7195500000000001</v>
      </c>
      <c r="G26" s="1">
        <f t="shared" si="1"/>
        <v>0.34</v>
      </c>
    </row>
    <row r="27" spans="2:7" ht="13" x14ac:dyDescent="0.3">
      <c r="B27" s="2">
        <v>0.51300000000000001</v>
      </c>
      <c r="C27" s="2">
        <v>0.05</v>
      </c>
      <c r="D27" s="2"/>
      <c r="E27" s="5">
        <v>25</v>
      </c>
      <c r="F27" s="1">
        <f t="shared" si="0"/>
        <v>1.7884</v>
      </c>
      <c r="G27" s="1">
        <f t="shared" si="1"/>
        <v>0.37</v>
      </c>
    </row>
    <row r="28" spans="2:7" ht="13" x14ac:dyDescent="0.3">
      <c r="B28" s="2">
        <v>0.53300000000000003</v>
      </c>
      <c r="C28" s="2">
        <v>0.05</v>
      </c>
      <c r="D28" s="2"/>
      <c r="E28" s="5">
        <v>26</v>
      </c>
      <c r="F28" s="1">
        <f t="shared" si="0"/>
        <v>1.8598000000000001</v>
      </c>
      <c r="G28" s="1">
        <f t="shared" si="1"/>
        <v>0.39</v>
      </c>
    </row>
    <row r="29" spans="2:7" ht="13" x14ac:dyDescent="0.3">
      <c r="B29" s="2">
        <v>0.55400000000000005</v>
      </c>
      <c r="C29" s="2">
        <v>0.06</v>
      </c>
      <c r="D29" s="2"/>
      <c r="E29" s="5">
        <v>27</v>
      </c>
      <c r="F29" s="1">
        <f t="shared" si="0"/>
        <v>2.1760000000000002</v>
      </c>
      <c r="G29" s="1">
        <f t="shared" si="1"/>
        <v>0.39</v>
      </c>
    </row>
    <row r="30" spans="2:7" ht="13" x14ac:dyDescent="0.3">
      <c r="B30" s="2">
        <v>0.57699999999999996</v>
      </c>
      <c r="C30" s="2">
        <v>0.06</v>
      </c>
      <c r="D30" s="2"/>
      <c r="E30" s="5">
        <v>28</v>
      </c>
      <c r="F30" s="1">
        <f t="shared" si="0"/>
        <v>2.2626999999999997</v>
      </c>
      <c r="G30" s="1">
        <f t="shared" si="1"/>
        <v>0.41</v>
      </c>
    </row>
    <row r="31" spans="2:7" ht="13" x14ac:dyDescent="0.3">
      <c r="B31" s="2">
        <v>0.6</v>
      </c>
      <c r="C31" s="2">
        <v>7.0000000000000007E-2</v>
      </c>
      <c r="D31" s="2"/>
      <c r="E31" s="5">
        <v>29</v>
      </c>
      <c r="F31" s="1">
        <f t="shared" si="0"/>
        <v>2.35365</v>
      </c>
      <c r="G31" s="1">
        <f t="shared" si="1"/>
        <v>0.52</v>
      </c>
    </row>
    <row r="32" spans="2:7" ht="13" x14ac:dyDescent="0.3">
      <c r="B32" s="2">
        <v>0.624</v>
      </c>
      <c r="C32" s="2">
        <v>7.0000000000000007E-2</v>
      </c>
      <c r="D32" s="2"/>
      <c r="E32" s="5">
        <v>30</v>
      </c>
      <c r="F32" s="1">
        <f t="shared" si="0"/>
        <v>2.6469</v>
      </c>
      <c r="G32" s="1">
        <f t="shared" si="1"/>
        <v>0.6</v>
      </c>
    </row>
    <row r="33" spans="2:7" ht="13" x14ac:dyDescent="0.3">
      <c r="B33" s="2">
        <v>0.64900000000000002</v>
      </c>
      <c r="C33" s="2">
        <v>7.0000000000000007E-2</v>
      </c>
      <c r="D33" s="2"/>
      <c r="E33" s="5">
        <v>31</v>
      </c>
      <c r="F33" s="1">
        <f t="shared" si="0"/>
        <v>2.7531499999999998</v>
      </c>
      <c r="G33" s="1">
        <f t="shared" si="1"/>
        <v>0.76</v>
      </c>
    </row>
    <row r="34" spans="2:7" ht="13" x14ac:dyDescent="0.3">
      <c r="B34" s="2">
        <v>0.67500000000000004</v>
      </c>
      <c r="C34" s="2">
        <v>7.0000000000000007E-2</v>
      </c>
      <c r="D34" s="2"/>
      <c r="E34" s="5">
        <v>32</v>
      </c>
      <c r="F34" s="1">
        <f t="shared" si="0"/>
        <v>2.8628</v>
      </c>
      <c r="G34" s="1">
        <f t="shared" si="1"/>
        <v>0.9</v>
      </c>
    </row>
    <row r="35" spans="2:7" ht="13" x14ac:dyDescent="0.3">
      <c r="B35" s="2">
        <v>0.70199999999999996</v>
      </c>
      <c r="C35" s="2">
        <v>0.08</v>
      </c>
      <c r="D35" s="2"/>
      <c r="E35" s="5">
        <v>33</v>
      </c>
      <c r="F35" s="1">
        <f t="shared" ref="F35:F66" si="2">BroadenPeaksFunction($B$3:$B$149,$C$3:$C$149,1,$E35)</f>
        <v>2.9775499999999999</v>
      </c>
      <c r="G35" s="1">
        <f t="shared" ref="G35:G66" si="3">BroadenPeaksFunction($B$3:$B$149,$C$3:$C$149,2,$E35)</f>
        <v>0.93</v>
      </c>
    </row>
    <row r="36" spans="2:7" ht="13" x14ac:dyDescent="0.3">
      <c r="B36" s="2">
        <v>0.73</v>
      </c>
      <c r="C36" s="2">
        <v>0.08</v>
      </c>
      <c r="D36" s="2"/>
      <c r="E36" s="5">
        <v>34</v>
      </c>
      <c r="F36" s="1">
        <f t="shared" si="2"/>
        <v>4.0284499999999994</v>
      </c>
      <c r="G36" s="1">
        <f t="shared" si="3"/>
        <v>0.93</v>
      </c>
    </row>
    <row r="37" spans="2:7" ht="13" x14ac:dyDescent="0.3">
      <c r="B37" s="2">
        <v>0.75900000000000001</v>
      </c>
      <c r="C37" s="2">
        <v>0.09</v>
      </c>
      <c r="D37" s="2"/>
      <c r="E37" s="5">
        <v>35</v>
      </c>
      <c r="F37" s="1">
        <f t="shared" si="2"/>
        <v>4.0748999999999995</v>
      </c>
      <c r="G37" s="1">
        <f t="shared" si="3"/>
        <v>0.92</v>
      </c>
    </row>
    <row r="38" spans="2:7" ht="13" x14ac:dyDescent="0.3">
      <c r="B38" s="2">
        <v>0.78900000000000003</v>
      </c>
      <c r="C38" s="2">
        <v>0.09</v>
      </c>
      <c r="D38" s="2"/>
      <c r="E38" s="5">
        <v>36</v>
      </c>
      <c r="F38" s="1">
        <f t="shared" si="2"/>
        <v>4.9580500000000001</v>
      </c>
      <c r="G38" s="1">
        <f t="shared" si="3"/>
        <v>1.08</v>
      </c>
    </row>
    <row r="39" spans="2:7" ht="13" x14ac:dyDescent="0.3">
      <c r="B39" s="2">
        <v>0.82099999999999995</v>
      </c>
      <c r="C39" s="2">
        <v>0.1</v>
      </c>
      <c r="D39" s="2"/>
      <c r="E39" s="5">
        <v>37</v>
      </c>
      <c r="F39" s="1">
        <f t="shared" si="2"/>
        <v>5.1560999999999995</v>
      </c>
      <c r="G39" s="1">
        <f t="shared" si="3"/>
        <v>1.1599999999999999</v>
      </c>
    </row>
    <row r="40" spans="2:7" ht="13" x14ac:dyDescent="0.3">
      <c r="B40" s="2">
        <v>0.85399999999999998</v>
      </c>
      <c r="C40" s="2">
        <v>0.1</v>
      </c>
      <c r="D40" s="2"/>
      <c r="E40" s="5">
        <v>38</v>
      </c>
      <c r="F40" s="1">
        <f t="shared" si="2"/>
        <v>5.5768499999999994</v>
      </c>
      <c r="G40" s="1">
        <f t="shared" si="3"/>
        <v>1.36</v>
      </c>
    </row>
    <row r="41" spans="2:7" ht="13" x14ac:dyDescent="0.3">
      <c r="B41" s="2">
        <v>0.88800000000000001</v>
      </c>
      <c r="C41" s="2">
        <v>0.1</v>
      </c>
      <c r="D41" s="2"/>
      <c r="E41" s="5">
        <v>39</v>
      </c>
      <c r="F41" s="1">
        <f t="shared" si="2"/>
        <v>5.8003999999999998</v>
      </c>
      <c r="G41" s="1">
        <f t="shared" si="3"/>
        <v>1.7</v>
      </c>
    </row>
    <row r="42" spans="2:7" ht="13" x14ac:dyDescent="0.3">
      <c r="B42" s="2">
        <v>0.92300000000000004</v>
      </c>
      <c r="C42" s="2">
        <v>0.1</v>
      </c>
      <c r="D42" s="2"/>
      <c r="E42" s="5">
        <v>40</v>
      </c>
      <c r="F42" s="1">
        <f t="shared" si="2"/>
        <v>6.0324499999999999</v>
      </c>
      <c r="G42" s="1">
        <f t="shared" si="3"/>
        <v>1.81</v>
      </c>
    </row>
    <row r="43" spans="2:7" ht="13" x14ac:dyDescent="0.3">
      <c r="B43" s="2">
        <v>0.96</v>
      </c>
      <c r="C43" s="2">
        <v>0.12</v>
      </c>
      <c r="D43" s="2"/>
      <c r="E43" s="5">
        <v>41</v>
      </c>
      <c r="F43" s="1">
        <f t="shared" si="2"/>
        <v>7.3388999999999998</v>
      </c>
      <c r="G43" s="1">
        <f t="shared" si="3"/>
        <v>1.98</v>
      </c>
    </row>
    <row r="44" spans="2:7" ht="13" x14ac:dyDescent="0.3">
      <c r="B44" s="2">
        <v>0.999</v>
      </c>
      <c r="C44" s="2">
        <v>0.12</v>
      </c>
      <c r="D44" s="2"/>
      <c r="E44" s="5">
        <v>42</v>
      </c>
      <c r="F44" s="1">
        <f t="shared" si="2"/>
        <v>7.9381500000000003</v>
      </c>
      <c r="G44" s="1">
        <f t="shared" si="3"/>
        <v>2.19</v>
      </c>
    </row>
    <row r="45" spans="2:7" ht="13" x14ac:dyDescent="0.3">
      <c r="B45" s="2">
        <v>1.0389999999999999</v>
      </c>
      <c r="C45" s="2">
        <v>0.12</v>
      </c>
      <c r="D45" s="2"/>
      <c r="E45" s="5">
        <v>43</v>
      </c>
      <c r="F45" s="1">
        <f t="shared" si="2"/>
        <v>9.2862500000000008</v>
      </c>
      <c r="G45" s="1">
        <f t="shared" si="3"/>
        <v>2.2269999999999999</v>
      </c>
    </row>
    <row r="46" spans="2:7" ht="13" x14ac:dyDescent="0.3">
      <c r="B46" s="2">
        <v>1.08</v>
      </c>
      <c r="C46" s="2">
        <v>0.14000000000000001</v>
      </c>
      <c r="D46" s="2"/>
      <c r="E46" s="5">
        <v>44</v>
      </c>
      <c r="F46" s="1">
        <f t="shared" si="2"/>
        <v>9.6577000000000002</v>
      </c>
      <c r="G46" s="1">
        <f t="shared" si="3"/>
        <v>2.2269999999999999</v>
      </c>
    </row>
    <row r="47" spans="2:7" ht="13" x14ac:dyDescent="0.3">
      <c r="B47" s="2">
        <v>1.123</v>
      </c>
      <c r="C47" s="2">
        <v>0.15</v>
      </c>
      <c r="D47" s="2"/>
      <c r="E47" s="5">
        <v>45</v>
      </c>
      <c r="F47" s="1">
        <f t="shared" si="2"/>
        <v>10.044449999999999</v>
      </c>
      <c r="G47" s="1">
        <f t="shared" si="3"/>
        <v>2.2269999999999999</v>
      </c>
    </row>
    <row r="48" spans="2:7" ht="13" x14ac:dyDescent="0.3">
      <c r="B48" s="2">
        <v>1.1679999999999999</v>
      </c>
      <c r="C48" s="2">
        <v>0.15</v>
      </c>
      <c r="D48" s="2"/>
      <c r="E48" s="5">
        <v>46</v>
      </c>
      <c r="F48" s="1">
        <f t="shared" si="2"/>
        <v>13.589549999999999</v>
      </c>
      <c r="G48" s="1">
        <f t="shared" si="3"/>
        <v>2.2269999999999999</v>
      </c>
    </row>
    <row r="49" spans="2:7" ht="13" x14ac:dyDescent="0.3">
      <c r="B49" s="2">
        <v>1.2150000000000001</v>
      </c>
      <c r="C49" s="2">
        <v>0.15</v>
      </c>
      <c r="D49" s="2"/>
      <c r="E49" s="5">
        <v>47</v>
      </c>
      <c r="F49" s="1">
        <f t="shared" si="2"/>
        <v>14.132349999999999</v>
      </c>
      <c r="G49" s="1">
        <f t="shared" si="3"/>
        <v>2.2269999999999999</v>
      </c>
    </row>
    <row r="50" spans="2:7" ht="13" x14ac:dyDescent="0.3">
      <c r="B50" s="2">
        <v>1.264</v>
      </c>
      <c r="C50" s="2">
        <v>0.16</v>
      </c>
      <c r="D50" s="2"/>
      <c r="E50" s="5">
        <v>48</v>
      </c>
      <c r="F50" s="1">
        <f t="shared" si="2"/>
        <v>14.69815</v>
      </c>
      <c r="G50" s="1">
        <f t="shared" si="3"/>
        <v>2.11</v>
      </c>
    </row>
    <row r="51" spans="2:7" ht="13" x14ac:dyDescent="0.3">
      <c r="B51" s="2">
        <v>1.3140000000000001</v>
      </c>
      <c r="C51" s="2">
        <v>0.18</v>
      </c>
      <c r="D51" s="2"/>
      <c r="E51" s="5">
        <v>49</v>
      </c>
      <c r="F51" s="1">
        <f t="shared" si="2"/>
        <v>17.8825</v>
      </c>
      <c r="G51" s="1">
        <f t="shared" si="3"/>
        <v>2.09</v>
      </c>
    </row>
    <row r="52" spans="2:7" ht="13" x14ac:dyDescent="0.3">
      <c r="B52" s="2">
        <v>1.367</v>
      </c>
      <c r="C52" s="2">
        <v>0.2</v>
      </c>
      <c r="D52" s="2"/>
      <c r="E52" s="5">
        <v>50</v>
      </c>
      <c r="F52" s="1">
        <f t="shared" si="2"/>
        <v>18.597799999999999</v>
      </c>
      <c r="G52" s="1">
        <f t="shared" si="3"/>
        <v>1.87</v>
      </c>
    </row>
    <row r="53" spans="2:7" ht="13" x14ac:dyDescent="0.3">
      <c r="B53" s="2">
        <v>1.421</v>
      </c>
      <c r="C53" s="2">
        <v>0.21</v>
      </c>
      <c r="D53" s="2"/>
      <c r="E53" s="5">
        <v>51</v>
      </c>
      <c r="F53" s="1">
        <f t="shared" si="2"/>
        <v>20.1158</v>
      </c>
      <c r="G53" s="1">
        <f t="shared" si="3"/>
        <v>1.57</v>
      </c>
    </row>
    <row r="54" spans="2:7" ht="13" x14ac:dyDescent="0.3">
      <c r="B54" s="2">
        <v>1.478</v>
      </c>
      <c r="C54" s="2">
        <v>0.22</v>
      </c>
      <c r="D54" s="2"/>
      <c r="E54" s="5">
        <v>52</v>
      </c>
      <c r="F54" s="1">
        <f t="shared" si="2"/>
        <v>20.919649999999997</v>
      </c>
      <c r="G54" s="1">
        <f t="shared" si="3"/>
        <v>1.55</v>
      </c>
    </row>
    <row r="55" spans="2:7" ht="13" x14ac:dyDescent="0.3">
      <c r="B55" s="2">
        <v>1.5369999999999999</v>
      </c>
      <c r="C55" s="2">
        <v>0.23</v>
      </c>
      <c r="D55" s="2"/>
      <c r="E55" s="5">
        <v>53</v>
      </c>
      <c r="F55" s="1">
        <f t="shared" si="2"/>
        <v>21.75685</v>
      </c>
      <c r="G55" s="1">
        <f t="shared" si="3"/>
        <v>1.35</v>
      </c>
    </row>
    <row r="56" spans="2:7" ht="13" x14ac:dyDescent="0.3">
      <c r="B56" s="2">
        <v>1.599</v>
      </c>
      <c r="C56" s="2">
        <v>0.23</v>
      </c>
      <c r="D56" s="2"/>
      <c r="E56" s="5">
        <v>54</v>
      </c>
      <c r="F56" s="1">
        <f t="shared" si="2"/>
        <v>22.627399999999998</v>
      </c>
      <c r="G56" s="1">
        <f t="shared" si="3"/>
        <v>1.27</v>
      </c>
    </row>
    <row r="57" spans="2:7" ht="13" x14ac:dyDescent="0.3">
      <c r="B57" s="2">
        <v>1.663</v>
      </c>
      <c r="C57" s="2">
        <v>0.24</v>
      </c>
      <c r="D57" s="2"/>
      <c r="E57" s="5">
        <v>55</v>
      </c>
      <c r="F57" s="1">
        <f t="shared" si="2"/>
        <v>22.8888</v>
      </c>
      <c r="G57" s="1">
        <f t="shared" si="3"/>
        <v>1.17</v>
      </c>
    </row>
    <row r="58" spans="2:7" ht="13" x14ac:dyDescent="0.3">
      <c r="B58" s="2">
        <v>1.7290000000000001</v>
      </c>
      <c r="C58" s="2">
        <v>0.24</v>
      </c>
      <c r="D58" s="2"/>
      <c r="E58" s="5">
        <v>56</v>
      </c>
      <c r="F58" s="1">
        <f t="shared" si="2"/>
        <v>30.967199999999998</v>
      </c>
      <c r="G58" s="1">
        <f t="shared" si="3"/>
        <v>1.17</v>
      </c>
    </row>
    <row r="59" spans="2:7" ht="13" x14ac:dyDescent="0.3">
      <c r="B59" s="2">
        <v>1.798</v>
      </c>
      <c r="C59" s="2">
        <v>0.25</v>
      </c>
      <c r="D59" s="2"/>
      <c r="E59" s="5">
        <v>57</v>
      </c>
      <c r="F59" s="1">
        <f t="shared" si="2"/>
        <v>31.324199999999998</v>
      </c>
      <c r="G59" s="1">
        <f t="shared" si="3"/>
        <v>1.1599999999999999</v>
      </c>
    </row>
    <row r="60" spans="2:7" ht="13" x14ac:dyDescent="0.3">
      <c r="B60" s="2">
        <v>1.87</v>
      </c>
      <c r="C60" s="2">
        <v>0.27</v>
      </c>
      <c r="D60" s="2"/>
      <c r="E60" s="5">
        <v>58</v>
      </c>
      <c r="F60" s="1">
        <f t="shared" si="2"/>
        <v>32.577100000000002</v>
      </c>
      <c r="G60" s="1">
        <f t="shared" si="3"/>
        <v>1.17</v>
      </c>
    </row>
    <row r="61" spans="2:7" ht="13" x14ac:dyDescent="0.3">
      <c r="B61" s="2">
        <v>1.9450000000000001</v>
      </c>
      <c r="C61" s="2">
        <v>0.3</v>
      </c>
      <c r="D61" s="2"/>
      <c r="E61" s="5">
        <v>59</v>
      </c>
      <c r="F61" s="1">
        <f t="shared" si="2"/>
        <v>44.0749</v>
      </c>
      <c r="G61" s="1">
        <f t="shared" si="3"/>
        <v>1.17</v>
      </c>
    </row>
    <row r="62" spans="2:7" ht="13" x14ac:dyDescent="0.3">
      <c r="B62" s="2">
        <v>2.0230000000000001</v>
      </c>
      <c r="C62" s="2">
        <v>0.34</v>
      </c>
      <c r="D62" s="2"/>
      <c r="E62" s="5">
        <v>60</v>
      </c>
      <c r="F62" s="1">
        <f t="shared" si="2"/>
        <v>53.624499999999998</v>
      </c>
      <c r="G62" s="1">
        <f t="shared" si="3"/>
        <v>1.1100000000000001</v>
      </c>
    </row>
    <row r="63" spans="2:7" ht="13" x14ac:dyDescent="0.3">
      <c r="B63" s="2">
        <v>2.1040000000000001</v>
      </c>
      <c r="C63" s="2">
        <v>0.37</v>
      </c>
      <c r="D63" s="2"/>
      <c r="E63" s="5">
        <v>61</v>
      </c>
      <c r="F63" s="1">
        <f t="shared" si="2"/>
        <v>67.8523</v>
      </c>
      <c r="G63" s="1">
        <f t="shared" si="3"/>
        <v>1.1100000000000001</v>
      </c>
    </row>
    <row r="64" spans="2:7" ht="13" x14ac:dyDescent="0.3">
      <c r="B64" s="2">
        <v>2.1880000000000002</v>
      </c>
      <c r="C64" s="2">
        <v>0.39</v>
      </c>
      <c r="D64" s="2"/>
      <c r="E64" s="5">
        <v>62</v>
      </c>
      <c r="F64" s="1">
        <f t="shared" si="2"/>
        <v>69</v>
      </c>
      <c r="G64" s="1">
        <f t="shared" si="3"/>
        <v>1.1100000000000001</v>
      </c>
    </row>
    <row r="65" spans="2:7" ht="13" x14ac:dyDescent="0.3">
      <c r="B65" s="2">
        <v>2.2759999999999998</v>
      </c>
      <c r="C65" s="2">
        <v>0.39</v>
      </c>
      <c r="D65" s="2"/>
      <c r="E65" s="5">
        <v>63</v>
      </c>
      <c r="F65" s="1">
        <f t="shared" si="2"/>
        <v>100</v>
      </c>
      <c r="G65" s="1">
        <f t="shared" si="3"/>
        <v>1.1100000000000001</v>
      </c>
    </row>
    <row r="66" spans="2:7" ht="13" x14ac:dyDescent="0.3">
      <c r="B66" s="2">
        <v>2.367</v>
      </c>
      <c r="C66" s="2">
        <v>0.38</v>
      </c>
      <c r="D66" s="2"/>
      <c r="E66" s="5">
        <v>64</v>
      </c>
      <c r="F66" s="1">
        <f t="shared" si="2"/>
        <v>100</v>
      </c>
      <c r="G66" s="1">
        <f t="shared" si="3"/>
        <v>1.1100000000000001</v>
      </c>
    </row>
    <row r="67" spans="2:7" ht="13" x14ac:dyDescent="0.3">
      <c r="B67" s="2">
        <v>2.4609999999999999</v>
      </c>
      <c r="C67" s="2">
        <v>0.38</v>
      </c>
      <c r="D67" s="2"/>
      <c r="E67" s="5">
        <v>65</v>
      </c>
      <c r="F67" s="1">
        <f t="shared" ref="F67:F98" si="4">BroadenPeaksFunction($B$3:$B$149,$C$3:$C$149,1,$E67)</f>
        <v>100</v>
      </c>
      <c r="G67" s="1">
        <f t="shared" ref="G67:G98" si="5">BroadenPeaksFunction($B$3:$B$149,$C$3:$C$149,2,$E67)</f>
        <v>1.1100000000000001</v>
      </c>
    </row>
    <row r="68" spans="2:7" ht="13" x14ac:dyDescent="0.3">
      <c r="B68" s="2">
        <v>2.56</v>
      </c>
      <c r="C68" s="2">
        <v>0.39</v>
      </c>
      <c r="D68" s="2"/>
      <c r="E68" s="5">
        <v>66</v>
      </c>
      <c r="F68" s="1">
        <f t="shared" si="4"/>
        <v>100</v>
      </c>
      <c r="G68" s="1">
        <f t="shared" si="5"/>
        <v>1.1100000000000001</v>
      </c>
    </row>
    <row r="69" spans="2:7" ht="13" x14ac:dyDescent="0.3">
      <c r="B69" s="2">
        <v>2.6619999999999999</v>
      </c>
      <c r="C69" s="2">
        <v>0.41</v>
      </c>
      <c r="D69" s="2"/>
      <c r="E69" s="5">
        <v>67</v>
      </c>
      <c r="F69" s="1">
        <f t="shared" si="4"/>
        <v>100</v>
      </c>
      <c r="G69" s="1">
        <f t="shared" si="5"/>
        <v>1.1100000000000001</v>
      </c>
    </row>
    <row r="70" spans="2:7" ht="13" x14ac:dyDescent="0.3">
      <c r="B70" s="2">
        <v>2.7690000000000001</v>
      </c>
      <c r="C70" s="2">
        <v>0.52</v>
      </c>
      <c r="D70" s="2"/>
      <c r="E70" s="5">
        <v>68</v>
      </c>
      <c r="F70" s="1">
        <f t="shared" si="4"/>
        <v>100</v>
      </c>
      <c r="G70" s="1">
        <f t="shared" si="5"/>
        <v>1.1100000000000001</v>
      </c>
    </row>
    <row r="71" spans="2:7" ht="13" x14ac:dyDescent="0.3">
      <c r="B71" s="2">
        <v>2.879</v>
      </c>
      <c r="C71" s="2">
        <v>0.52</v>
      </c>
      <c r="D71" s="2"/>
      <c r="E71" s="5">
        <v>69</v>
      </c>
      <c r="F71" s="1">
        <f t="shared" si="4"/>
        <v>100</v>
      </c>
      <c r="G71" s="1">
        <f t="shared" si="5"/>
        <v>1.1100000000000001</v>
      </c>
    </row>
    <row r="72" spans="2:7" ht="13" x14ac:dyDescent="0.3">
      <c r="B72" s="2">
        <v>2.9950000000000001</v>
      </c>
      <c r="C72" s="2">
        <v>0.5</v>
      </c>
      <c r="D72" s="2"/>
      <c r="E72" s="5">
        <v>70</v>
      </c>
      <c r="F72" s="1">
        <f t="shared" si="4"/>
        <v>100</v>
      </c>
      <c r="G72" s="1">
        <f t="shared" si="5"/>
        <v>1.1100000000000001</v>
      </c>
    </row>
    <row r="73" spans="2:7" ht="13" x14ac:dyDescent="0.3">
      <c r="B73" s="2">
        <v>3.1139999999999999</v>
      </c>
      <c r="C73" s="2">
        <v>0.6</v>
      </c>
      <c r="D73" s="2"/>
      <c r="E73" s="5">
        <v>71</v>
      </c>
      <c r="F73" s="1">
        <f t="shared" si="4"/>
        <v>100</v>
      </c>
      <c r="G73" s="1">
        <f t="shared" si="5"/>
        <v>1.1100000000000001</v>
      </c>
    </row>
    <row r="74" spans="2:7" ht="13" x14ac:dyDescent="0.3">
      <c r="B74" s="2">
        <v>3.2389999999999999</v>
      </c>
      <c r="C74" s="2">
        <v>0.76</v>
      </c>
      <c r="D74" s="2"/>
      <c r="E74" s="5">
        <v>72</v>
      </c>
      <c r="F74" s="1">
        <f t="shared" si="4"/>
        <v>100</v>
      </c>
      <c r="G74" s="1">
        <f t="shared" si="5"/>
        <v>1.1100000000000001</v>
      </c>
    </row>
    <row r="75" spans="2:7" ht="13" x14ac:dyDescent="0.3">
      <c r="B75" s="2">
        <v>3.3679999999999999</v>
      </c>
      <c r="C75" s="2">
        <v>0.9</v>
      </c>
      <c r="D75" s="2"/>
      <c r="E75" s="5">
        <v>73</v>
      </c>
      <c r="F75" s="1">
        <f t="shared" si="4"/>
        <v>100</v>
      </c>
      <c r="G75" s="1">
        <f t="shared" si="5"/>
        <v>1.1100000000000001</v>
      </c>
    </row>
    <row r="76" spans="2:7" ht="13" x14ac:dyDescent="0.3">
      <c r="B76" s="2">
        <v>3.5030000000000001</v>
      </c>
      <c r="C76" s="2">
        <v>0.93</v>
      </c>
      <c r="D76" s="2"/>
      <c r="E76" s="5">
        <v>74</v>
      </c>
      <c r="F76" s="1">
        <f t="shared" si="4"/>
        <v>100</v>
      </c>
      <c r="G76" s="1">
        <f t="shared" si="5"/>
        <v>1.1100000000000001</v>
      </c>
    </row>
    <row r="77" spans="2:7" ht="13" x14ac:dyDescent="0.3">
      <c r="B77" s="2">
        <v>3.6429999999999998</v>
      </c>
      <c r="C77" s="2">
        <v>0.8</v>
      </c>
      <c r="D77" s="2"/>
      <c r="E77" s="5">
        <v>75</v>
      </c>
      <c r="F77" s="1">
        <f t="shared" si="4"/>
        <v>100</v>
      </c>
      <c r="G77" s="1">
        <f t="shared" si="5"/>
        <v>1.1100000000000001</v>
      </c>
    </row>
    <row r="78" spans="2:7" ht="13" x14ac:dyDescent="0.3">
      <c r="B78" s="2">
        <v>3.7890000000000001</v>
      </c>
      <c r="C78" s="2">
        <v>0.62</v>
      </c>
      <c r="D78" s="2"/>
      <c r="E78" s="5">
        <v>76</v>
      </c>
      <c r="F78" s="1">
        <f t="shared" si="4"/>
        <v>100</v>
      </c>
      <c r="G78" s="1">
        <f t="shared" si="5"/>
        <v>1.1100000000000001</v>
      </c>
    </row>
    <row r="79" spans="2:7" ht="13" x14ac:dyDescent="0.3">
      <c r="B79" s="2">
        <v>3.9409999999999998</v>
      </c>
      <c r="C79" s="2">
        <v>0.54</v>
      </c>
      <c r="D79" s="2"/>
      <c r="E79" s="5">
        <v>77</v>
      </c>
      <c r="F79" s="1">
        <f t="shared" si="4"/>
        <v>100</v>
      </c>
      <c r="G79" s="1">
        <f t="shared" si="5"/>
        <v>1.1100000000000001</v>
      </c>
    </row>
    <row r="80" spans="2:7" ht="13" x14ac:dyDescent="0.3">
      <c r="B80" s="2">
        <v>4.0979999999999999</v>
      </c>
      <c r="C80" s="2">
        <v>0.56999999999999995</v>
      </c>
      <c r="D80" s="2"/>
      <c r="E80" s="5">
        <v>78</v>
      </c>
      <c r="F80" s="1">
        <f t="shared" si="4"/>
        <v>100</v>
      </c>
      <c r="G80" s="1">
        <f t="shared" si="5"/>
        <v>1.1100000000000001</v>
      </c>
    </row>
    <row r="81" spans="2:7" ht="13" x14ac:dyDescent="0.3">
      <c r="B81" s="2">
        <v>4.2619999999999996</v>
      </c>
      <c r="C81" s="2">
        <v>0.66</v>
      </c>
      <c r="D81" s="2"/>
      <c r="E81" s="5">
        <v>79</v>
      </c>
      <c r="F81" s="1">
        <f t="shared" si="4"/>
        <v>100</v>
      </c>
      <c r="G81" s="1">
        <f t="shared" si="5"/>
        <v>1.1100000000000001</v>
      </c>
    </row>
    <row r="82" spans="2:7" ht="13" x14ac:dyDescent="0.3">
      <c r="B82" s="2">
        <v>4.4329999999999998</v>
      </c>
      <c r="C82" s="2">
        <v>0.74</v>
      </c>
      <c r="D82" s="2"/>
      <c r="E82" s="5">
        <v>80</v>
      </c>
      <c r="F82" s="1">
        <f t="shared" si="4"/>
        <v>100</v>
      </c>
      <c r="G82" s="1">
        <f t="shared" si="5"/>
        <v>1.1100000000000001</v>
      </c>
    </row>
    <row r="83" spans="2:7" ht="13" x14ac:dyDescent="0.3">
      <c r="B83" s="2">
        <v>4.6100000000000003</v>
      </c>
      <c r="C83" s="2">
        <v>0.82</v>
      </c>
      <c r="D83" s="2"/>
      <c r="E83" s="5">
        <v>81</v>
      </c>
      <c r="F83" s="1">
        <f t="shared" si="4"/>
        <v>100</v>
      </c>
      <c r="G83" s="1">
        <f t="shared" si="5"/>
        <v>1.1100000000000001</v>
      </c>
    </row>
    <row r="84" spans="2:7" ht="13" x14ac:dyDescent="0.3">
      <c r="B84" s="2">
        <v>4.7939999999999996</v>
      </c>
      <c r="C84" s="2">
        <v>0.92</v>
      </c>
      <c r="D84" s="2"/>
      <c r="E84" s="5">
        <v>82</v>
      </c>
      <c r="F84" s="1">
        <f t="shared" si="4"/>
        <v>100</v>
      </c>
      <c r="G84" s="1">
        <f t="shared" si="5"/>
        <v>1.1100000000000001</v>
      </c>
    </row>
    <row r="85" spans="2:7" ht="13" x14ac:dyDescent="0.3">
      <c r="B85" s="2">
        <v>4.9859999999999998</v>
      </c>
      <c r="C85" s="2">
        <v>0.92</v>
      </c>
      <c r="D85" s="2"/>
      <c r="E85" s="5">
        <v>83</v>
      </c>
      <c r="F85" s="1">
        <f t="shared" si="4"/>
        <v>100</v>
      </c>
      <c r="G85" s="1">
        <f t="shared" si="5"/>
        <v>1.1100000000000001</v>
      </c>
    </row>
    <row r="86" spans="2:7" ht="13" x14ac:dyDescent="0.3">
      <c r="B86" s="2">
        <v>5.1859999999999999</v>
      </c>
      <c r="C86" s="2">
        <v>0.86</v>
      </c>
      <c r="D86" s="2"/>
      <c r="E86" s="5">
        <v>84</v>
      </c>
      <c r="F86" s="1">
        <f t="shared" si="4"/>
        <v>100</v>
      </c>
      <c r="G86" s="1">
        <f t="shared" si="5"/>
        <v>1.1100000000000001</v>
      </c>
    </row>
    <row r="87" spans="2:7" ht="13" x14ac:dyDescent="0.3">
      <c r="B87" s="2">
        <v>5.3929999999999998</v>
      </c>
      <c r="C87" s="2">
        <v>0.81</v>
      </c>
      <c r="D87" s="2"/>
      <c r="E87" s="5">
        <v>85</v>
      </c>
      <c r="F87" s="1">
        <f t="shared" si="4"/>
        <v>100</v>
      </c>
      <c r="G87" s="1">
        <f t="shared" si="5"/>
        <v>1.1100000000000001</v>
      </c>
    </row>
    <row r="88" spans="2:7" ht="13" x14ac:dyDescent="0.3">
      <c r="B88" s="2">
        <v>5.609</v>
      </c>
      <c r="C88" s="2">
        <v>0.9</v>
      </c>
      <c r="D88" s="2"/>
      <c r="E88" s="5">
        <v>86</v>
      </c>
      <c r="F88" s="1">
        <f t="shared" si="4"/>
        <v>100</v>
      </c>
      <c r="G88" s="1">
        <f t="shared" si="5"/>
        <v>1.1100000000000001</v>
      </c>
    </row>
    <row r="89" spans="2:7" ht="13" x14ac:dyDescent="0.3">
      <c r="B89" s="2">
        <v>5.8330000000000002</v>
      </c>
      <c r="C89" s="2">
        <v>1.08</v>
      </c>
      <c r="D89" s="2"/>
      <c r="E89" s="5">
        <v>87</v>
      </c>
      <c r="F89" s="1">
        <f t="shared" si="4"/>
        <v>100</v>
      </c>
      <c r="G89" s="1">
        <f t="shared" si="5"/>
        <v>1.1100000000000001</v>
      </c>
    </row>
    <row r="90" spans="2:7" ht="13" x14ac:dyDescent="0.3">
      <c r="B90" s="2">
        <v>6.0659999999999998</v>
      </c>
      <c r="C90" s="2">
        <v>1.1599999999999999</v>
      </c>
      <c r="D90" s="2"/>
      <c r="E90" s="5">
        <v>88</v>
      </c>
      <c r="F90" s="1">
        <f t="shared" si="4"/>
        <v>100</v>
      </c>
      <c r="G90" s="1">
        <f t="shared" si="5"/>
        <v>1.1100000000000001</v>
      </c>
    </row>
    <row r="91" spans="2:7" ht="13" x14ac:dyDescent="0.3">
      <c r="B91" s="2">
        <v>6.3090000000000002</v>
      </c>
      <c r="C91" s="2">
        <v>1.1100000000000001</v>
      </c>
      <c r="D91" s="2"/>
      <c r="E91" s="5">
        <v>89</v>
      </c>
      <c r="F91" s="1">
        <f t="shared" si="4"/>
        <v>100</v>
      </c>
      <c r="G91" s="1">
        <f t="shared" si="5"/>
        <v>1.1100000000000001</v>
      </c>
    </row>
    <row r="92" spans="2:7" ht="13" x14ac:dyDescent="0.3">
      <c r="B92" s="2">
        <v>6.5609999999999999</v>
      </c>
      <c r="C92" s="2">
        <v>1.36</v>
      </c>
      <c r="D92" s="2"/>
      <c r="E92" s="5">
        <v>90</v>
      </c>
      <c r="F92" s="1">
        <f t="shared" si="4"/>
        <v>100</v>
      </c>
      <c r="G92" s="1">
        <f t="shared" si="5"/>
        <v>1.1100000000000001</v>
      </c>
    </row>
    <row r="93" spans="2:7" ht="13" x14ac:dyDescent="0.3">
      <c r="B93" s="2">
        <v>6.8239999999999998</v>
      </c>
      <c r="C93" s="2">
        <v>1.7</v>
      </c>
      <c r="D93" s="2"/>
      <c r="E93" s="5">
        <v>91</v>
      </c>
      <c r="F93" s="1">
        <f t="shared" si="4"/>
        <v>100</v>
      </c>
      <c r="G93" s="1">
        <f t="shared" si="5"/>
        <v>1.1100000000000001</v>
      </c>
    </row>
    <row r="94" spans="2:7" ht="13" x14ac:dyDescent="0.3">
      <c r="B94" s="2">
        <v>7.0970000000000004</v>
      </c>
      <c r="C94" s="2">
        <v>1.81</v>
      </c>
      <c r="D94" s="2"/>
      <c r="E94" s="5">
        <v>92</v>
      </c>
      <c r="F94" s="1">
        <f t="shared" si="4"/>
        <v>100</v>
      </c>
      <c r="G94" s="1">
        <f t="shared" si="5"/>
        <v>1.1100000000000001</v>
      </c>
    </row>
    <row r="95" spans="2:7" ht="13" x14ac:dyDescent="0.3">
      <c r="B95" s="2">
        <v>7.3810000000000002</v>
      </c>
      <c r="C95" s="2">
        <v>1.61</v>
      </c>
      <c r="D95" s="2"/>
      <c r="E95" s="5">
        <v>93</v>
      </c>
      <c r="F95" s="1">
        <f t="shared" si="4"/>
        <v>100</v>
      </c>
      <c r="G95" s="1">
        <f t="shared" si="5"/>
        <v>1.1100000000000001</v>
      </c>
    </row>
    <row r="96" spans="2:7" ht="13" x14ac:dyDescent="0.3">
      <c r="B96" s="2">
        <v>7.6760000000000002</v>
      </c>
      <c r="C96" s="2">
        <v>1.7</v>
      </c>
      <c r="D96" s="2"/>
      <c r="E96" s="5">
        <v>94</v>
      </c>
      <c r="F96" s="1">
        <f t="shared" si="4"/>
        <v>100</v>
      </c>
      <c r="G96" s="1">
        <f t="shared" si="5"/>
        <v>1.1100000000000001</v>
      </c>
    </row>
    <row r="97" spans="2:7" ht="13" x14ac:dyDescent="0.3">
      <c r="B97" s="2">
        <v>7.9829999999999997</v>
      </c>
      <c r="C97" s="2">
        <v>1.56</v>
      </c>
      <c r="D97" s="2"/>
      <c r="E97" s="5">
        <v>95</v>
      </c>
      <c r="F97" s="1">
        <f t="shared" si="4"/>
        <v>100</v>
      </c>
      <c r="G97" s="1">
        <f t="shared" si="5"/>
        <v>1.1100000000000001</v>
      </c>
    </row>
    <row r="98" spans="2:7" ht="13" x14ac:dyDescent="0.3">
      <c r="B98" s="2">
        <v>8.3019999999999996</v>
      </c>
      <c r="C98" s="2">
        <v>1.69</v>
      </c>
      <c r="D98" s="2"/>
      <c r="E98" s="5">
        <v>96</v>
      </c>
      <c r="F98" s="1">
        <f t="shared" si="4"/>
        <v>100</v>
      </c>
      <c r="G98" s="1">
        <f t="shared" si="5"/>
        <v>1.1100000000000001</v>
      </c>
    </row>
    <row r="99" spans="2:7" ht="13" x14ac:dyDescent="0.3">
      <c r="B99" s="2">
        <v>8.6340000000000003</v>
      </c>
      <c r="C99" s="2">
        <v>1.98</v>
      </c>
      <c r="D99" s="2"/>
      <c r="E99" s="5">
        <v>97</v>
      </c>
      <c r="F99" s="1">
        <f t="shared" ref="F99:F130" si="6">BroadenPeaksFunction($B$3:$B$149,$C$3:$C$149,1,$E99)</f>
        <v>100</v>
      </c>
      <c r="G99" s="1">
        <f t="shared" ref="G99:G130" si="7">BroadenPeaksFunction($B$3:$B$149,$C$3:$C$149,2,$E99)</f>
        <v>1.1100000000000001</v>
      </c>
    </row>
    <row r="100" spans="2:7" ht="13" x14ac:dyDescent="0.3">
      <c r="B100" s="2">
        <v>8.98</v>
      </c>
      <c r="C100" s="2">
        <v>1.93</v>
      </c>
      <c r="D100" s="2"/>
      <c r="E100" s="5">
        <v>98</v>
      </c>
      <c r="F100" s="1">
        <f t="shared" si="6"/>
        <v>100</v>
      </c>
      <c r="G100" s="1">
        <f t="shared" si="7"/>
        <v>1.1100000000000001</v>
      </c>
    </row>
    <row r="101" spans="2:7" ht="13" x14ac:dyDescent="0.3">
      <c r="B101" s="2">
        <v>9.3390000000000004</v>
      </c>
      <c r="C101" s="2">
        <v>2.19</v>
      </c>
      <c r="D101" s="2"/>
      <c r="E101" s="5">
        <v>99</v>
      </c>
      <c r="F101" s="1">
        <f t="shared" si="6"/>
        <v>100</v>
      </c>
      <c r="G101" s="1">
        <f t="shared" si="7"/>
        <v>1.1100000000000001</v>
      </c>
    </row>
    <row r="102" spans="2:7" ht="13" x14ac:dyDescent="0.3">
      <c r="B102" s="2">
        <v>9.7119999999999997</v>
      </c>
      <c r="C102" s="2">
        <v>2.16</v>
      </c>
      <c r="D102" s="2"/>
      <c r="E102" s="5">
        <v>100</v>
      </c>
      <c r="F102" s="1">
        <f t="shared" si="6"/>
        <v>100</v>
      </c>
      <c r="G102" s="1">
        <f t="shared" si="7"/>
        <v>1.1100000000000001</v>
      </c>
    </row>
    <row r="103" spans="2:7" ht="13" x14ac:dyDescent="0.3">
      <c r="B103" s="2">
        <v>10.101000000000001</v>
      </c>
      <c r="C103" s="2">
        <v>2.04</v>
      </c>
      <c r="D103" s="2"/>
      <c r="E103" s="5">
        <v>101</v>
      </c>
      <c r="F103" s="1">
        <f t="shared" si="6"/>
        <v>100</v>
      </c>
      <c r="G103" s="1">
        <f t="shared" si="7"/>
        <v>1.1100000000000001</v>
      </c>
    </row>
    <row r="104" spans="2:7" ht="13" x14ac:dyDescent="0.3">
      <c r="B104" s="2">
        <v>10.505000000000001</v>
      </c>
      <c r="C104" s="2">
        <v>2.08</v>
      </c>
      <c r="D104" s="2"/>
      <c r="E104" s="5">
        <v>102</v>
      </c>
      <c r="F104" s="1">
        <f t="shared" si="6"/>
        <v>100</v>
      </c>
      <c r="G104" s="1">
        <f t="shared" si="7"/>
        <v>1.1100000000000001</v>
      </c>
    </row>
    <row r="105" spans="2:7" ht="13" x14ac:dyDescent="0.3">
      <c r="B105" s="2">
        <v>10.925000000000001</v>
      </c>
      <c r="C105" s="2">
        <v>2.41</v>
      </c>
      <c r="D105" s="2"/>
      <c r="E105" s="5">
        <v>103</v>
      </c>
      <c r="F105" s="1">
        <f t="shared" si="6"/>
        <v>100</v>
      </c>
      <c r="G105" s="1">
        <f t="shared" si="7"/>
        <v>1.1100000000000001</v>
      </c>
    </row>
    <row r="106" spans="2:7" ht="13" x14ac:dyDescent="0.3">
      <c r="B106" s="2">
        <v>11.362</v>
      </c>
      <c r="C106" s="2">
        <v>2.46</v>
      </c>
      <c r="D106" s="2"/>
      <c r="E106" s="5">
        <v>104</v>
      </c>
      <c r="F106" s="1">
        <f t="shared" si="6"/>
        <v>100</v>
      </c>
      <c r="G106" s="1">
        <f t="shared" si="7"/>
        <v>1.1100000000000001</v>
      </c>
    </row>
    <row r="107" spans="2:7" ht="13" x14ac:dyDescent="0.3">
      <c r="B107" s="2">
        <v>11.817</v>
      </c>
      <c r="C107" s="2">
        <v>2.62</v>
      </c>
      <c r="D107" s="2"/>
      <c r="E107" s="5">
        <v>105</v>
      </c>
      <c r="F107" s="1">
        <f t="shared" si="6"/>
        <v>100</v>
      </c>
      <c r="G107" s="1">
        <f t="shared" si="7"/>
        <v>1.1100000000000001</v>
      </c>
    </row>
    <row r="108" spans="2:7" ht="13" x14ac:dyDescent="0.3">
      <c r="B108" s="2">
        <v>12.289</v>
      </c>
      <c r="C108" s="2">
        <v>2.39</v>
      </c>
      <c r="D108" s="2"/>
      <c r="E108" s="5">
        <v>106</v>
      </c>
      <c r="F108" s="1">
        <f t="shared" si="6"/>
        <v>100</v>
      </c>
      <c r="G108" s="1">
        <f t="shared" si="7"/>
        <v>1.1100000000000001</v>
      </c>
    </row>
    <row r="109" spans="2:7" ht="13" x14ac:dyDescent="0.3">
      <c r="B109" s="2">
        <v>12.781000000000001</v>
      </c>
      <c r="C109" s="2">
        <v>2.11</v>
      </c>
      <c r="D109" s="2"/>
      <c r="E109" s="5">
        <v>107</v>
      </c>
      <c r="F109" s="1">
        <f t="shared" si="6"/>
        <v>100</v>
      </c>
      <c r="G109" s="1">
        <f t="shared" si="7"/>
        <v>1.1100000000000001</v>
      </c>
    </row>
    <row r="110" spans="2:7" ht="13" x14ac:dyDescent="0.3">
      <c r="B110" s="2">
        <v>13.292</v>
      </c>
      <c r="C110" s="2">
        <v>2.02</v>
      </c>
      <c r="D110" s="2"/>
      <c r="E110" s="5">
        <v>108</v>
      </c>
      <c r="F110" s="1">
        <f t="shared" si="6"/>
        <v>100</v>
      </c>
      <c r="G110" s="1">
        <f t="shared" si="7"/>
        <v>1.1100000000000001</v>
      </c>
    </row>
    <row r="111" spans="2:7" ht="13" x14ac:dyDescent="0.3">
      <c r="B111" s="2">
        <v>13.824</v>
      </c>
      <c r="C111" s="2">
        <v>1.81</v>
      </c>
      <c r="D111" s="2"/>
      <c r="E111" s="5">
        <v>109</v>
      </c>
      <c r="F111" s="1">
        <f t="shared" si="6"/>
        <v>100</v>
      </c>
      <c r="G111" s="1">
        <f t="shared" si="7"/>
        <v>1.1100000000000001</v>
      </c>
    </row>
    <row r="112" spans="2:7" ht="13" x14ac:dyDescent="0.3">
      <c r="B112" s="2">
        <v>14.377000000000001</v>
      </c>
      <c r="C112" s="2">
        <v>1.77</v>
      </c>
      <c r="D112" s="2"/>
      <c r="E112" s="5">
        <v>110</v>
      </c>
      <c r="F112" s="1">
        <f t="shared" si="6"/>
        <v>100</v>
      </c>
      <c r="G112" s="1">
        <f t="shared" si="7"/>
        <v>1.1100000000000001</v>
      </c>
    </row>
    <row r="113" spans="2:7" ht="13" x14ac:dyDescent="0.3">
      <c r="B113" s="2">
        <v>14.952</v>
      </c>
      <c r="C113" s="2">
        <v>1.81</v>
      </c>
      <c r="D113" s="2"/>
      <c r="E113" s="5">
        <v>111</v>
      </c>
      <c r="F113" s="1">
        <f t="shared" si="6"/>
        <v>100</v>
      </c>
      <c r="G113" s="1">
        <f t="shared" si="7"/>
        <v>1.1100000000000001</v>
      </c>
    </row>
    <row r="114" spans="2:7" ht="13" x14ac:dyDescent="0.3">
      <c r="B114" s="2">
        <v>15.55</v>
      </c>
      <c r="C114" s="2">
        <v>2.09</v>
      </c>
      <c r="D114" s="2"/>
      <c r="E114" s="5">
        <v>112</v>
      </c>
      <c r="F114" s="1">
        <f t="shared" si="6"/>
        <v>100</v>
      </c>
      <c r="G114" s="1">
        <f t="shared" si="7"/>
        <v>1.1100000000000001</v>
      </c>
    </row>
    <row r="115" spans="2:7" ht="13" x14ac:dyDescent="0.3">
      <c r="B115" s="2">
        <v>16.172000000000001</v>
      </c>
      <c r="C115" s="2">
        <v>1.87</v>
      </c>
      <c r="D115" s="2"/>
      <c r="E115" s="5">
        <v>113</v>
      </c>
      <c r="F115" s="1">
        <f t="shared" si="6"/>
        <v>100</v>
      </c>
      <c r="G115" s="1">
        <f t="shared" si="7"/>
        <v>1.1100000000000001</v>
      </c>
    </row>
    <row r="116" spans="2:7" ht="13" x14ac:dyDescent="0.3">
      <c r="B116" s="2">
        <v>16.818999999999999</v>
      </c>
      <c r="C116" s="2">
        <v>1.51</v>
      </c>
      <c r="D116" s="2"/>
      <c r="E116" s="5">
        <v>114</v>
      </c>
      <c r="F116" s="1">
        <f t="shared" si="6"/>
        <v>100</v>
      </c>
      <c r="G116" s="1">
        <f t="shared" si="7"/>
        <v>1.1100000000000001</v>
      </c>
    </row>
    <row r="117" spans="2:7" ht="13" x14ac:dyDescent="0.3">
      <c r="B117" s="2">
        <v>17.492000000000001</v>
      </c>
      <c r="C117" s="2">
        <v>1.57</v>
      </c>
      <c r="D117" s="2"/>
      <c r="E117" s="5">
        <v>115</v>
      </c>
      <c r="F117" s="1">
        <f t="shared" si="6"/>
        <v>100</v>
      </c>
      <c r="G117" s="1">
        <f t="shared" si="7"/>
        <v>1.1100000000000001</v>
      </c>
    </row>
    <row r="118" spans="2:7" ht="13" x14ac:dyDescent="0.3">
      <c r="B118" s="2">
        <v>18.190999999999999</v>
      </c>
      <c r="C118" s="2">
        <v>1.55</v>
      </c>
      <c r="D118" s="2"/>
      <c r="E118" s="5">
        <v>116</v>
      </c>
      <c r="F118" s="1">
        <f t="shared" si="6"/>
        <v>100</v>
      </c>
      <c r="G118" s="1">
        <f t="shared" si="7"/>
        <v>1.1100000000000001</v>
      </c>
    </row>
    <row r="119" spans="2:7" ht="13" x14ac:dyDescent="0.3">
      <c r="B119" s="2">
        <v>18.919</v>
      </c>
      <c r="C119" s="2">
        <v>1.35</v>
      </c>
      <c r="D119" s="2"/>
      <c r="E119" s="5">
        <v>117</v>
      </c>
      <c r="F119" s="1">
        <f t="shared" si="6"/>
        <v>100</v>
      </c>
      <c r="G119" s="1">
        <f t="shared" si="7"/>
        <v>1.1100000000000001</v>
      </c>
    </row>
    <row r="120" spans="2:7" ht="13" x14ac:dyDescent="0.3">
      <c r="B120" s="2">
        <v>19.675999999999998</v>
      </c>
      <c r="C120" s="2">
        <v>1.27</v>
      </c>
      <c r="D120" s="2"/>
      <c r="E120" s="5">
        <v>118</v>
      </c>
      <c r="F120" s="1">
        <f t="shared" si="6"/>
        <v>100</v>
      </c>
      <c r="G120" s="1">
        <f t="shared" si="7"/>
        <v>1.1100000000000001</v>
      </c>
    </row>
    <row r="121" spans="2:7" ht="13" x14ac:dyDescent="0.3">
      <c r="B121" s="2">
        <v>20.463000000000001</v>
      </c>
      <c r="C121" s="2">
        <v>1.08</v>
      </c>
      <c r="D121" s="2"/>
      <c r="E121" s="5">
        <v>119</v>
      </c>
      <c r="F121" s="1">
        <f t="shared" si="6"/>
        <v>100</v>
      </c>
      <c r="G121" s="1">
        <f t="shared" si="7"/>
        <v>1.1100000000000001</v>
      </c>
    </row>
    <row r="122" spans="2:7" ht="13" x14ac:dyDescent="0.3">
      <c r="B122" s="2">
        <v>21.280999999999999</v>
      </c>
      <c r="C122" s="2">
        <v>0.97</v>
      </c>
      <c r="D122" s="2"/>
      <c r="E122" s="5">
        <v>120</v>
      </c>
      <c r="F122" s="1">
        <f t="shared" si="6"/>
        <v>100</v>
      </c>
      <c r="G122" s="1">
        <f t="shared" si="7"/>
        <v>1.1100000000000001</v>
      </c>
    </row>
    <row r="123" spans="2:7" ht="13" x14ac:dyDescent="0.3">
      <c r="B123" s="2">
        <v>22.132999999999999</v>
      </c>
      <c r="C123" s="2">
        <v>1.0900000000000001</v>
      </c>
      <c r="D123" s="2"/>
      <c r="E123" s="5">
        <v>121</v>
      </c>
      <c r="F123" s="1">
        <f t="shared" si="6"/>
        <v>100</v>
      </c>
      <c r="G123" s="1">
        <f t="shared" si="7"/>
        <v>1.1100000000000001</v>
      </c>
    </row>
    <row r="124" spans="2:7" ht="13" x14ac:dyDescent="0.3">
      <c r="B124" s="2">
        <v>23.018000000000001</v>
      </c>
      <c r="C124" s="2">
        <v>1.03</v>
      </c>
      <c r="D124" s="2"/>
      <c r="E124" s="5">
        <v>122</v>
      </c>
      <c r="F124" s="1">
        <f t="shared" si="6"/>
        <v>100</v>
      </c>
      <c r="G124" s="1">
        <f t="shared" si="7"/>
        <v>1.1100000000000001</v>
      </c>
    </row>
    <row r="125" spans="2:7" ht="13" x14ac:dyDescent="0.3">
      <c r="B125" s="2">
        <v>23.939</v>
      </c>
      <c r="C125" s="2">
        <v>1.08</v>
      </c>
      <c r="D125" s="2"/>
      <c r="E125" s="5">
        <v>123</v>
      </c>
      <c r="F125" s="1">
        <f t="shared" si="6"/>
        <v>100</v>
      </c>
      <c r="G125" s="1">
        <f t="shared" si="7"/>
        <v>1.1100000000000001</v>
      </c>
    </row>
    <row r="126" spans="2:7" ht="13" x14ac:dyDescent="0.3">
      <c r="B126" s="2">
        <v>24.896000000000001</v>
      </c>
      <c r="C126" s="2">
        <v>1.1299999999999999</v>
      </c>
      <c r="D126" s="2"/>
      <c r="E126" s="5">
        <v>124</v>
      </c>
      <c r="F126" s="1">
        <f t="shared" si="6"/>
        <v>100</v>
      </c>
      <c r="G126" s="1">
        <f t="shared" si="7"/>
        <v>1.1100000000000001</v>
      </c>
    </row>
    <row r="127" spans="2:7" ht="13" x14ac:dyDescent="0.3">
      <c r="B127" s="2">
        <v>25.891999999999999</v>
      </c>
      <c r="C127" s="2">
        <v>1.1599999999999999</v>
      </c>
      <c r="D127" s="2"/>
      <c r="E127" s="5">
        <v>125</v>
      </c>
      <c r="F127" s="1">
        <f t="shared" si="6"/>
        <v>100</v>
      </c>
      <c r="G127" s="1">
        <f t="shared" si="7"/>
        <v>1.1100000000000001</v>
      </c>
    </row>
    <row r="128" spans="2:7" ht="13" x14ac:dyDescent="0.3">
      <c r="B128" s="2">
        <v>26.928000000000001</v>
      </c>
      <c r="C128" s="2">
        <v>1.17</v>
      </c>
      <c r="D128" s="2"/>
      <c r="E128" s="5">
        <v>126</v>
      </c>
      <c r="F128" s="1">
        <f t="shared" si="6"/>
        <v>100</v>
      </c>
      <c r="G128" s="1">
        <f t="shared" si="7"/>
        <v>1.1100000000000001</v>
      </c>
    </row>
    <row r="129" spans="2:7" ht="13" x14ac:dyDescent="0.3">
      <c r="B129" s="2">
        <v>28.004999999999999</v>
      </c>
      <c r="C129" s="2">
        <v>1.07</v>
      </c>
      <c r="D129" s="2"/>
      <c r="E129" s="5">
        <v>127</v>
      </c>
      <c r="F129" s="1">
        <f t="shared" si="6"/>
        <v>100</v>
      </c>
      <c r="G129" s="1">
        <f t="shared" si="7"/>
        <v>1.1100000000000001</v>
      </c>
    </row>
    <row r="130" spans="2:7" ht="13" x14ac:dyDescent="0.3">
      <c r="B130" s="2">
        <v>29.125</v>
      </c>
      <c r="C130" s="2">
        <v>1.07</v>
      </c>
      <c r="D130" s="2"/>
      <c r="E130" s="5">
        <v>128</v>
      </c>
      <c r="F130" s="1">
        <f t="shared" si="6"/>
        <v>100</v>
      </c>
      <c r="G130" s="1">
        <f t="shared" si="7"/>
        <v>1.1100000000000001</v>
      </c>
    </row>
    <row r="131" spans="2:7" ht="13" x14ac:dyDescent="0.3">
      <c r="B131" s="2">
        <v>30.29</v>
      </c>
      <c r="C131" s="2">
        <v>0.97</v>
      </c>
      <c r="D131" s="2"/>
      <c r="E131" s="5">
        <v>129</v>
      </c>
      <c r="F131" s="1">
        <f t="shared" ref="F131:F149" si="8">BroadenPeaksFunction($B$3:$B$149,$C$3:$C$149,1,$E131)</f>
        <v>100</v>
      </c>
      <c r="G131" s="1">
        <f t="shared" ref="G131:G149" si="9">BroadenPeaksFunction($B$3:$B$149,$C$3:$C$149,2,$E131)</f>
        <v>1.1100000000000001</v>
      </c>
    </row>
    <row r="132" spans="2:7" ht="13" x14ac:dyDescent="0.3">
      <c r="B132" s="2">
        <v>31.501000000000001</v>
      </c>
      <c r="C132" s="2">
        <v>1.0900000000000001</v>
      </c>
      <c r="D132" s="2"/>
      <c r="E132" s="5">
        <v>130</v>
      </c>
      <c r="F132" s="1">
        <f t="shared" si="8"/>
        <v>100</v>
      </c>
      <c r="G132" s="1">
        <f t="shared" si="9"/>
        <v>1.1100000000000001</v>
      </c>
    </row>
    <row r="133" spans="2:7" ht="13" x14ac:dyDescent="0.3">
      <c r="B133" s="2">
        <v>32.762</v>
      </c>
      <c r="C133" s="2">
        <v>1.03</v>
      </c>
      <c r="D133" s="2"/>
      <c r="E133" s="5">
        <v>131</v>
      </c>
      <c r="F133" s="1">
        <f t="shared" si="8"/>
        <v>100</v>
      </c>
      <c r="G133" s="1">
        <f t="shared" si="9"/>
        <v>1.1100000000000001</v>
      </c>
    </row>
    <row r="134" spans="2:7" ht="13" x14ac:dyDescent="0.3">
      <c r="B134" s="2">
        <v>34.072000000000003</v>
      </c>
      <c r="C134" s="2">
        <v>1.08</v>
      </c>
      <c r="D134" s="2"/>
      <c r="E134" s="5">
        <v>132</v>
      </c>
      <c r="F134" s="1">
        <f t="shared" si="8"/>
        <v>100</v>
      </c>
      <c r="G134" s="1">
        <f t="shared" si="9"/>
        <v>1.1100000000000001</v>
      </c>
    </row>
    <row r="135" spans="2:7" ht="13" x14ac:dyDescent="0.3">
      <c r="B135" s="2">
        <v>35.435000000000002</v>
      </c>
      <c r="C135" s="2">
        <v>1.1299999999999999</v>
      </c>
      <c r="D135" s="2"/>
      <c r="E135" s="5">
        <v>133</v>
      </c>
      <c r="F135" s="1">
        <f t="shared" si="8"/>
        <v>100</v>
      </c>
      <c r="G135" s="1">
        <f t="shared" si="9"/>
        <v>1.1100000000000001</v>
      </c>
    </row>
    <row r="136" spans="2:7" ht="13" x14ac:dyDescent="0.3">
      <c r="B136" s="2">
        <v>36.851999999999997</v>
      </c>
      <c r="C136" s="2">
        <v>1.1599999999999999</v>
      </c>
      <c r="D136" s="2"/>
      <c r="E136" s="5">
        <v>134</v>
      </c>
      <c r="F136" s="1">
        <f t="shared" si="8"/>
        <v>100</v>
      </c>
      <c r="G136" s="1">
        <f t="shared" si="9"/>
        <v>1.1100000000000001</v>
      </c>
    </row>
    <row r="137" spans="2:7" ht="13" x14ac:dyDescent="0.3">
      <c r="B137" s="2">
        <v>38.326000000000001</v>
      </c>
      <c r="C137" s="2">
        <v>1.17</v>
      </c>
      <c r="D137" s="2"/>
      <c r="E137" s="5">
        <v>135</v>
      </c>
      <c r="F137" s="1">
        <f t="shared" si="8"/>
        <v>100</v>
      </c>
      <c r="G137" s="1">
        <f t="shared" si="9"/>
        <v>1.1100000000000001</v>
      </c>
    </row>
    <row r="138" spans="2:7" ht="13" x14ac:dyDescent="0.3">
      <c r="B138" s="2">
        <v>39.859000000000002</v>
      </c>
      <c r="C138" s="2">
        <v>1</v>
      </c>
      <c r="D138" s="2"/>
      <c r="E138" s="5">
        <v>136</v>
      </c>
      <c r="F138" s="1">
        <f t="shared" si="8"/>
        <v>100</v>
      </c>
      <c r="G138" s="1">
        <f t="shared" si="9"/>
        <v>1.1100000000000001</v>
      </c>
    </row>
    <row r="139" spans="2:7" ht="13" x14ac:dyDescent="0.3">
      <c r="B139" s="2">
        <v>41.454000000000001</v>
      </c>
      <c r="C139" s="2">
        <v>0.98</v>
      </c>
      <c r="D139" s="2"/>
      <c r="E139" s="5">
        <v>137</v>
      </c>
      <c r="F139" s="1">
        <f t="shared" si="8"/>
        <v>100</v>
      </c>
      <c r="G139" s="1">
        <f t="shared" si="9"/>
        <v>1.1100000000000001</v>
      </c>
    </row>
    <row r="140" spans="2:7" ht="13" x14ac:dyDescent="0.3">
      <c r="B140" s="2">
        <v>43.112000000000002</v>
      </c>
      <c r="C140" s="2">
        <v>0.96</v>
      </c>
      <c r="D140" s="2"/>
      <c r="E140" s="5">
        <v>138</v>
      </c>
      <c r="F140" s="1">
        <f t="shared" si="8"/>
        <v>100</v>
      </c>
      <c r="G140" s="1">
        <f t="shared" si="9"/>
        <v>1.1100000000000001</v>
      </c>
    </row>
    <row r="141" spans="2:7" ht="13" x14ac:dyDescent="0.3">
      <c r="B141" s="2">
        <v>44.835999999999999</v>
      </c>
      <c r="C141" s="2">
        <v>1.02</v>
      </c>
      <c r="D141" s="2"/>
      <c r="E141" s="5">
        <v>139</v>
      </c>
      <c r="F141" s="1">
        <f t="shared" si="8"/>
        <v>100</v>
      </c>
      <c r="G141" s="1">
        <f t="shared" si="9"/>
        <v>1.1100000000000001</v>
      </c>
    </row>
    <row r="142" spans="2:7" ht="13" x14ac:dyDescent="0.3">
      <c r="B142" s="2">
        <v>46.63</v>
      </c>
      <c r="C142" s="2">
        <v>1.1100000000000001</v>
      </c>
      <c r="D142" s="2"/>
      <c r="E142" s="5">
        <v>140</v>
      </c>
      <c r="F142" s="1">
        <f t="shared" si="8"/>
        <v>100</v>
      </c>
      <c r="G142" s="1">
        <f t="shared" si="9"/>
        <v>1.1100000000000001</v>
      </c>
    </row>
    <row r="143" spans="2:7" ht="13" x14ac:dyDescent="0.3">
      <c r="B143" s="2">
        <v>48.494999999999997</v>
      </c>
      <c r="C143" s="2">
        <v>0.98</v>
      </c>
      <c r="D143" s="2"/>
      <c r="E143" s="5">
        <v>141</v>
      </c>
      <c r="F143" s="1">
        <f t="shared" si="8"/>
        <v>100</v>
      </c>
      <c r="G143" s="1">
        <f t="shared" si="9"/>
        <v>1.1100000000000001</v>
      </c>
    </row>
    <row r="144" spans="2:7" ht="13" x14ac:dyDescent="0.3">
      <c r="B144" s="2">
        <v>50.435000000000002</v>
      </c>
      <c r="C144" s="2">
        <v>0.98</v>
      </c>
      <c r="D144" s="2"/>
      <c r="E144" s="5">
        <v>142</v>
      </c>
      <c r="F144" s="1">
        <f t="shared" si="8"/>
        <v>100</v>
      </c>
      <c r="G144" s="1">
        <f t="shared" si="9"/>
        <v>1.1100000000000001</v>
      </c>
    </row>
    <row r="145" spans="2:7" ht="13" x14ac:dyDescent="0.3">
      <c r="B145" s="2">
        <v>52.451999999999998</v>
      </c>
      <c r="C145" s="2">
        <v>0.94</v>
      </c>
      <c r="D145" s="2"/>
      <c r="E145" s="5">
        <v>143</v>
      </c>
      <c r="F145" s="1">
        <f t="shared" si="8"/>
        <v>100</v>
      </c>
      <c r="G145" s="1">
        <f t="shared" si="9"/>
        <v>1.1100000000000001</v>
      </c>
    </row>
    <row r="146" spans="2:7" ht="13" x14ac:dyDescent="0.3">
      <c r="B146" s="2">
        <v>54.55</v>
      </c>
      <c r="C146" s="2">
        <v>0.98</v>
      </c>
      <c r="D146" s="2"/>
      <c r="E146" s="5">
        <v>144</v>
      </c>
      <c r="F146" s="1">
        <f t="shared" si="8"/>
        <v>100</v>
      </c>
      <c r="G146" s="1">
        <f t="shared" si="9"/>
        <v>1.1100000000000001</v>
      </c>
    </row>
    <row r="147" spans="2:7" ht="13" x14ac:dyDescent="0.3">
      <c r="B147" s="2">
        <v>56.731999999999999</v>
      </c>
      <c r="C147" s="2">
        <v>1.02</v>
      </c>
      <c r="D147" s="2"/>
      <c r="E147" s="5">
        <v>145</v>
      </c>
      <c r="F147" s="1">
        <f t="shared" si="8"/>
        <v>100</v>
      </c>
      <c r="G147" s="1">
        <f t="shared" si="9"/>
        <v>1.1100000000000001</v>
      </c>
    </row>
    <row r="148" spans="2:7" ht="13" x14ac:dyDescent="0.3">
      <c r="B148" s="2">
        <v>59.002000000000002</v>
      </c>
      <c r="C148" s="2">
        <v>1.05</v>
      </c>
      <c r="D148" s="2"/>
      <c r="E148" s="5">
        <v>146</v>
      </c>
      <c r="F148" s="1">
        <f t="shared" si="8"/>
        <v>100</v>
      </c>
      <c r="G148" s="1">
        <f t="shared" si="9"/>
        <v>1.1100000000000001</v>
      </c>
    </row>
    <row r="149" spans="2:7" ht="13" x14ac:dyDescent="0.3">
      <c r="B149" s="2">
        <v>60</v>
      </c>
      <c r="C149" s="2">
        <v>0.99</v>
      </c>
      <c r="D149" s="2"/>
      <c r="E149" s="5">
        <v>147</v>
      </c>
      <c r="F149" s="1">
        <f t="shared" si="8"/>
        <v>100</v>
      </c>
      <c r="G149" s="1">
        <f t="shared" si="9"/>
        <v>1.1100000000000001</v>
      </c>
    </row>
    <row r="150" spans="2:7" ht="13" x14ac:dyDescent="0.3">
      <c r="E150" s="5"/>
    </row>
    <row r="151" spans="2:7" ht="13" x14ac:dyDescent="0.3">
      <c r="E151" s="5"/>
    </row>
    <row r="152" spans="2:7" ht="13" x14ac:dyDescent="0.3">
      <c r="E152" s="5"/>
    </row>
    <row r="153" spans="2:7" ht="13" x14ac:dyDescent="0.3">
      <c r="E153" s="5"/>
    </row>
    <row r="154" spans="2:7" ht="13" x14ac:dyDescent="0.3">
      <c r="E154" s="5"/>
    </row>
    <row r="155" spans="2:7" ht="13" x14ac:dyDescent="0.3">
      <c r="E155" s="5"/>
    </row>
    <row r="156" spans="2:7" ht="13" x14ac:dyDescent="0.3">
      <c r="E156" s="5"/>
    </row>
    <row r="157" spans="2:7" ht="13" x14ac:dyDescent="0.3">
      <c r="E157" s="5"/>
    </row>
    <row r="158" spans="2:7" ht="13" x14ac:dyDescent="0.3">
      <c r="E158" s="5"/>
    </row>
    <row r="159" spans="2:7" ht="13" x14ac:dyDescent="0.3">
      <c r="E159" s="5"/>
    </row>
    <row r="160" spans="2:7" ht="13" x14ac:dyDescent="0.3">
      <c r="E160" s="5"/>
    </row>
    <row r="161" spans="5:5" ht="13" x14ac:dyDescent="0.3">
      <c r="E161" s="5"/>
    </row>
    <row r="162" spans="5:5" ht="13" x14ac:dyDescent="0.3">
      <c r="E162" s="5"/>
    </row>
    <row r="163" spans="5:5" ht="13" x14ac:dyDescent="0.3">
      <c r="E163" s="5"/>
    </row>
    <row r="164" spans="5:5" ht="13" x14ac:dyDescent="0.3">
      <c r="E164" s="5"/>
    </row>
    <row r="165" spans="5:5" ht="13" x14ac:dyDescent="0.3">
      <c r="E165" s="5"/>
    </row>
    <row r="166" spans="5:5" ht="13" x14ac:dyDescent="0.3">
      <c r="E166" s="5"/>
    </row>
    <row r="167" spans="5:5" ht="13" x14ac:dyDescent="0.3">
      <c r="E167" s="5"/>
    </row>
    <row r="168" spans="5:5" ht="13" x14ac:dyDescent="0.3">
      <c r="E168" s="5"/>
    </row>
    <row r="169" spans="5:5" ht="13" x14ac:dyDescent="0.3">
      <c r="E169" s="5"/>
    </row>
    <row r="170" spans="5:5" ht="13" x14ac:dyDescent="0.3">
      <c r="E170" s="5"/>
    </row>
    <row r="171" spans="5:5" ht="13" x14ac:dyDescent="0.3">
      <c r="E171" s="5"/>
    </row>
    <row r="172" spans="5:5" ht="13" x14ac:dyDescent="0.3">
      <c r="E172" s="5"/>
    </row>
    <row r="173" spans="5:5" ht="13" x14ac:dyDescent="0.3">
      <c r="E173" s="5"/>
    </row>
    <row r="174" spans="5:5" ht="13" x14ac:dyDescent="0.3">
      <c r="E174" s="5"/>
    </row>
    <row r="175" spans="5:5" ht="13" x14ac:dyDescent="0.3">
      <c r="E175" s="5"/>
    </row>
    <row r="176" spans="5:5" ht="13" x14ac:dyDescent="0.3">
      <c r="E176" s="5"/>
    </row>
    <row r="177" spans="5:5" ht="13" x14ac:dyDescent="0.3">
      <c r="E177" s="5"/>
    </row>
    <row r="178" spans="5:5" ht="13" x14ac:dyDescent="0.3">
      <c r="E178" s="5"/>
    </row>
    <row r="179" spans="5:5" ht="13" x14ac:dyDescent="0.3">
      <c r="E179" s="5"/>
    </row>
    <row r="180" spans="5:5" ht="13" x14ac:dyDescent="0.3">
      <c r="E180" s="5"/>
    </row>
  </sheetData>
  <phoneticPr fontId="2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Peak Broaden Example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Stevens, Nicholas</dc:creator>
  <cp:lastModifiedBy>Nick</cp:lastModifiedBy>
  <cp:lastPrinted>2014-03-17T11:35:16Z</cp:lastPrinted>
  <dcterms:created xsi:type="dcterms:W3CDTF">1996-10-14T23:33:28Z</dcterms:created>
  <dcterms:modified xsi:type="dcterms:W3CDTF">2016-07-25T20:35:13Z</dcterms:modified>
</cp:coreProperties>
</file>